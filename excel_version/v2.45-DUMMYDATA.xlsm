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sh\Desktop\Club Tennis Stuff\WTT_TOC_Template\"/>
    </mc:Choice>
  </mc:AlternateContent>
  <xr:revisionPtr revIDLastSave="0" documentId="13_ncr:1_{5F9B6704-1EA3-4076-A7B8-DF665A2069E2}" xr6:coauthVersionLast="47" xr6:coauthVersionMax="47" xr10:uidLastSave="{00000000-0000-0000-0000-000000000000}"/>
  <bookViews>
    <workbookView xWindow="-120" yWindow="-120" windowWidth="38640" windowHeight="21240" tabRatio="836" activeTab="2" xr2:uid="{00000000-000D-0000-FFFF-FFFF00000000}"/>
  </bookViews>
  <sheets>
    <sheet name="List of Teams" sheetId="5" r:id="rId1"/>
    <sheet name="Teams in Pools" sheetId="3" r:id="rId2"/>
    <sheet name="USER INTERFACE" sheetId="1" r:id="rId3"/>
    <sheet name="All Pools" sheetId="2" r:id="rId4"/>
    <sheet name="Gold Bracket" sheetId="16" r:id="rId5"/>
    <sheet name="Silver Bracket" sheetId="17" r:id="rId6"/>
    <sheet name="Bronze Bracket" sheetId="18" r:id="rId7"/>
    <sheet name="Copper Bracket" sheetId="19" r:id="rId8"/>
    <sheet name="Calculations" sheetId="4" r:id="rId9"/>
    <sheet name="Variables" sheetId="8" r:id="rId10"/>
    <sheet name="AllPoolsTemplate" sheetId="7" r:id="rId11"/>
    <sheet name="Bracket Template 8" sheetId="13" r:id="rId12"/>
    <sheet name="Bracket Template 16" sheetId="14" r:id="rId13"/>
    <sheet name="Bracket Template 32" sheetId="15" r:id="rId14"/>
    <sheet name="Bracket Template 64" sheetId="21" r:id="rId15"/>
    <sheet name="notes" sheetId="12" r:id="rId16"/>
  </sheets>
  <functionGroups builtInGroupCount="19"/>
  <definedNames>
    <definedName name="checkname">OFFSET('List of Teams'!$F$2,0,0,COUNT('List of Teams'!$E$2:$E$65),1)</definedName>
    <definedName name="PoolCount">'Teams in Pools'!$A$35:$A$50</definedName>
    <definedName name="SearchbarDropDown">OFFSET('USER INTERFACE'!$G$2,0,0,COUNT('USER INTERFACE'!$G$2:$G$65),1)</definedName>
    <definedName name="TeamnamesInPools" comment="Range name for teams to check the drop down stuff">'Teams in Pools'!$A$2:$A$6,'Teams in Pools'!$A$8:$A$12,'Teams in Pools'!$A$14:$A$18,'Teams in Pools'!$A$20:$A$24,'Teams in Pools'!$C$2:$C$6,'Teams in Pools'!$C$8:$C$12,'Teams in Pools'!$C$14:$C$18,'Teams in Pools'!$C$20:$C$24,'Teams in Pools'!$E$2:$E$6,'Teams in Pools'!$E$8:$E$12,'Teams in Pools'!$E$14:$E$18,'Teams in Pools'!$E$20:$E$24,'Teams in Pools'!$G$2:$G$6,'Teams in Pools'!$G$8:$G$12,'Teams in Pools'!$G$14:$G$18,'Teams in Pools'!$G$20:$G$24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63" i="18" l="1"/>
  <c r="L62" i="18"/>
  <c r="H62" i="18"/>
  <c r="H61" i="18" s="1"/>
  <c r="L61" i="18"/>
  <c r="J60" i="18"/>
  <c r="J55" i="18"/>
  <c r="L53" i="18"/>
  <c r="L54" i="18" s="1"/>
  <c r="H53" i="18"/>
  <c r="H54" i="18" s="1"/>
  <c r="J52" i="18"/>
  <c r="J47" i="18"/>
  <c r="L46" i="18"/>
  <c r="L45" i="18" s="1"/>
  <c r="H46" i="18"/>
  <c r="H45" i="18" s="1"/>
  <c r="J44" i="18"/>
  <c r="J39" i="18"/>
  <c r="L37" i="18"/>
  <c r="L38" i="18" s="1"/>
  <c r="H37" i="18"/>
  <c r="J36" i="18"/>
  <c r="J31" i="18"/>
  <c r="L30" i="18"/>
  <c r="H30" i="18"/>
  <c r="J28" i="18"/>
  <c r="J23" i="18"/>
  <c r="L21" i="18"/>
  <c r="L22" i="18" s="1"/>
  <c r="H21" i="18"/>
  <c r="H22" i="18" s="1"/>
  <c r="J20" i="18"/>
  <c r="J15" i="18"/>
  <c r="L14" i="18"/>
  <c r="L13" i="18" s="1"/>
  <c r="H14" i="18"/>
  <c r="H13" i="18" s="1"/>
  <c r="J12" i="18"/>
  <c r="J7" i="18"/>
  <c r="L5" i="18"/>
  <c r="L6" i="18" s="1"/>
  <c r="H5" i="18"/>
  <c r="H6" i="18" s="1"/>
  <c r="J4" i="18"/>
  <c r="J63" i="17"/>
  <c r="L62" i="17"/>
  <c r="L61" i="17" s="1"/>
  <c r="H62" i="17"/>
  <c r="H61" i="17" s="1"/>
  <c r="J60" i="17"/>
  <c r="J55" i="17"/>
  <c r="L53" i="17"/>
  <c r="L54" i="17" s="1"/>
  <c r="H53" i="17"/>
  <c r="H54" i="17" s="1"/>
  <c r="J52" i="17"/>
  <c r="J47" i="17"/>
  <c r="L46" i="17"/>
  <c r="L45" i="17" s="1"/>
  <c r="H46" i="17"/>
  <c r="H45" i="17" s="1"/>
  <c r="J44" i="17"/>
  <c r="J39" i="17"/>
  <c r="L37" i="17"/>
  <c r="L38" i="17" s="1"/>
  <c r="H37" i="17"/>
  <c r="J36" i="17"/>
  <c r="J31" i="17"/>
  <c r="L30" i="17"/>
  <c r="H30" i="17"/>
  <c r="H29" i="17" s="1"/>
  <c r="J28" i="17"/>
  <c r="J23" i="17"/>
  <c r="L21" i="17"/>
  <c r="L22" i="17" s="1"/>
  <c r="H21" i="17"/>
  <c r="H22" i="17" s="1"/>
  <c r="J20" i="17"/>
  <c r="J15" i="17"/>
  <c r="L14" i="17"/>
  <c r="L13" i="17" s="1"/>
  <c r="H14" i="17"/>
  <c r="H13" i="17" s="1"/>
  <c r="J12" i="17"/>
  <c r="J7" i="17"/>
  <c r="L5" i="17"/>
  <c r="L6" i="17" s="1"/>
  <c r="H5" i="17"/>
  <c r="J4" i="17"/>
  <c r="J63" i="16"/>
  <c r="L62" i="16"/>
  <c r="L61" i="16" s="1"/>
  <c r="H62" i="16"/>
  <c r="H61" i="16" s="1"/>
  <c r="J60" i="16"/>
  <c r="J55" i="16"/>
  <c r="H54" i="16"/>
  <c r="L53" i="16"/>
  <c r="L54" i="16" s="1"/>
  <c r="H53" i="16"/>
  <c r="J52" i="16"/>
  <c r="J47" i="16"/>
  <c r="L46" i="16"/>
  <c r="L45" i="16" s="1"/>
  <c r="H46" i="16"/>
  <c r="J44" i="16"/>
  <c r="J39" i="16"/>
  <c r="L37" i="16"/>
  <c r="L38" i="16" s="1"/>
  <c r="H37" i="16"/>
  <c r="H38" i="16" s="1"/>
  <c r="J36" i="16"/>
  <c r="J31" i="16"/>
  <c r="L30" i="16"/>
  <c r="L29" i="16" s="1"/>
  <c r="H30" i="16"/>
  <c r="H29" i="16" s="1"/>
  <c r="J28" i="16"/>
  <c r="J23" i="16"/>
  <c r="L21" i="16"/>
  <c r="L22" i="16" s="1"/>
  <c r="H21" i="16"/>
  <c r="H22" i="16" s="1"/>
  <c r="J20" i="16"/>
  <c r="J15" i="16"/>
  <c r="L14" i="16"/>
  <c r="L13" i="16" s="1"/>
  <c r="H14" i="16"/>
  <c r="H13" i="16" s="1"/>
  <c r="J12" i="16"/>
  <c r="J7" i="16"/>
  <c r="L5" i="16"/>
  <c r="L6" i="16" s="1"/>
  <c r="H5" i="16"/>
  <c r="H6" i="16" s="1"/>
  <c r="J4" i="16"/>
  <c r="B19" i="8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N255" i="21"/>
  <c r="N252" i="21"/>
  <c r="N244" i="21"/>
  <c r="N236" i="21"/>
  <c r="N228" i="21"/>
  <c r="N220" i="21"/>
  <c r="N212" i="21"/>
  <c r="N204" i="21"/>
  <c r="N196" i="21"/>
  <c r="N188" i="21"/>
  <c r="N180" i="21"/>
  <c r="N172" i="21"/>
  <c r="N164" i="21"/>
  <c r="N156" i="21"/>
  <c r="N148" i="21"/>
  <c r="N140" i="21"/>
  <c r="N132" i="21"/>
  <c r="N124" i="21"/>
  <c r="N116" i="21"/>
  <c r="N108" i="21"/>
  <c r="N100" i="21"/>
  <c r="N92" i="21"/>
  <c r="N84" i="21"/>
  <c r="N76" i="21"/>
  <c r="N68" i="21"/>
  <c r="N60" i="21"/>
  <c r="N52" i="21"/>
  <c r="N44" i="21"/>
  <c r="N36" i="21"/>
  <c r="N28" i="21"/>
  <c r="N20" i="21"/>
  <c r="N12" i="21"/>
  <c r="N4" i="21"/>
  <c r="L124" i="15"/>
  <c r="L116" i="15"/>
  <c r="L108" i="15"/>
  <c r="L100" i="15"/>
  <c r="L92" i="15"/>
  <c r="L84" i="15"/>
  <c r="L76" i="15"/>
  <c r="L68" i="15"/>
  <c r="L60" i="15"/>
  <c r="L52" i="15"/>
  <c r="L44" i="15"/>
  <c r="L36" i="15"/>
  <c r="L28" i="15"/>
  <c r="L20" i="15"/>
  <c r="L12" i="15"/>
  <c r="L4" i="15"/>
  <c r="J60" i="14"/>
  <c r="J52" i="14"/>
  <c r="J44" i="14"/>
  <c r="J36" i="14"/>
  <c r="J28" i="14"/>
  <c r="J20" i="14"/>
  <c r="J12" i="14"/>
  <c r="J4" i="14"/>
  <c r="N247" i="21"/>
  <c r="N239" i="21"/>
  <c r="N231" i="21"/>
  <c r="N223" i="21"/>
  <c r="N215" i="21"/>
  <c r="N207" i="21"/>
  <c r="N199" i="21"/>
  <c r="N191" i="21"/>
  <c r="N183" i="21"/>
  <c r="N175" i="21"/>
  <c r="N167" i="21"/>
  <c r="N159" i="21"/>
  <c r="N151" i="21"/>
  <c r="N143" i="21"/>
  <c r="N135" i="21"/>
  <c r="N127" i="21"/>
  <c r="N119" i="21"/>
  <c r="N111" i="21"/>
  <c r="N103" i="21"/>
  <c r="N95" i="21"/>
  <c r="N87" i="21"/>
  <c r="N79" i="21"/>
  <c r="N71" i="21"/>
  <c r="N63" i="21"/>
  <c r="N55" i="21"/>
  <c r="N47" i="21"/>
  <c r="N39" i="21"/>
  <c r="N31" i="21"/>
  <c r="N23" i="21"/>
  <c r="N15" i="21"/>
  <c r="N7" i="21"/>
  <c r="L127" i="15"/>
  <c r="L119" i="15"/>
  <c r="L111" i="15"/>
  <c r="L103" i="15"/>
  <c r="L95" i="15"/>
  <c r="L87" i="15"/>
  <c r="L79" i="15"/>
  <c r="L71" i="15"/>
  <c r="L63" i="15"/>
  <c r="L55" i="15"/>
  <c r="L47" i="15"/>
  <c r="L39" i="15"/>
  <c r="L31" i="15"/>
  <c r="L23" i="15"/>
  <c r="L15" i="15"/>
  <c r="L7" i="15"/>
  <c r="J63" i="14"/>
  <c r="J55" i="14"/>
  <c r="J47" i="14"/>
  <c r="J39" i="14"/>
  <c r="J31" i="14"/>
  <c r="J23" i="14"/>
  <c r="J15" i="14"/>
  <c r="J7" i="14"/>
  <c r="H31" i="13"/>
  <c r="H23" i="13"/>
  <c r="H15" i="13"/>
  <c r="H28" i="13"/>
  <c r="H20" i="13"/>
  <c r="H12" i="13"/>
  <c r="H7" i="13"/>
  <c r="H4" i="13"/>
  <c r="B20" i="3"/>
  <c r="B18" i="8"/>
  <c r="V66" i="15"/>
  <c r="V65" i="15"/>
  <c r="B66" i="15"/>
  <c r="B65" i="15"/>
  <c r="D98" i="15"/>
  <c r="D97" i="15"/>
  <c r="D34" i="15"/>
  <c r="D33" i="15"/>
  <c r="T33" i="15"/>
  <c r="T34" i="15" s="1"/>
  <c r="T97" i="15"/>
  <c r="T98" i="15"/>
  <c r="F114" i="15"/>
  <c r="F113" i="15" s="1"/>
  <c r="F50" i="15"/>
  <c r="F49" i="15" s="1"/>
  <c r="F81" i="15"/>
  <c r="F82" i="15" s="1"/>
  <c r="F17" i="15"/>
  <c r="F18" i="15" s="1"/>
  <c r="R114" i="15"/>
  <c r="R113" i="15" s="1"/>
  <c r="R50" i="15"/>
  <c r="R49" i="15"/>
  <c r="R81" i="15"/>
  <c r="R82" i="15" s="1"/>
  <c r="R17" i="15"/>
  <c r="R18" i="15" s="1"/>
  <c r="H122" i="15"/>
  <c r="H121" i="15" s="1"/>
  <c r="H90" i="15"/>
  <c r="H89" i="15" s="1"/>
  <c r="H58" i="15"/>
  <c r="H57" i="15" s="1"/>
  <c r="H26" i="15"/>
  <c r="H25" i="15" s="1"/>
  <c r="H105" i="15"/>
  <c r="H106" i="15" s="1"/>
  <c r="H73" i="15"/>
  <c r="H74" i="15" s="1"/>
  <c r="H41" i="15"/>
  <c r="H42" i="15" s="1"/>
  <c r="H9" i="15"/>
  <c r="H10" i="15" s="1"/>
  <c r="J126" i="15"/>
  <c r="J125" i="15" s="1"/>
  <c r="J110" i="15"/>
  <c r="J109" i="15" s="1"/>
  <c r="J94" i="15"/>
  <c r="J93" i="15" s="1"/>
  <c r="J78" i="15"/>
  <c r="J77" i="15" s="1"/>
  <c r="J62" i="15"/>
  <c r="J61" i="15" s="1"/>
  <c r="J46" i="15"/>
  <c r="J45" i="15" s="1"/>
  <c r="J30" i="15"/>
  <c r="J29" i="15" s="1"/>
  <c r="J14" i="15"/>
  <c r="J13" i="15" s="1"/>
  <c r="J117" i="15"/>
  <c r="J118" i="15" s="1"/>
  <c r="J101" i="15"/>
  <c r="J102" i="15" s="1"/>
  <c r="J85" i="15"/>
  <c r="J86" i="15" s="1"/>
  <c r="J69" i="15"/>
  <c r="J70" i="15" s="1"/>
  <c r="J53" i="15"/>
  <c r="J54" i="15" s="1"/>
  <c r="J37" i="15"/>
  <c r="J38" i="15" s="1"/>
  <c r="J21" i="15"/>
  <c r="J22" i="15" s="1"/>
  <c r="J5" i="15"/>
  <c r="J6" i="15" s="1"/>
  <c r="P121" i="15"/>
  <c r="P122" i="15"/>
  <c r="P90" i="15"/>
  <c r="P89" i="15" s="1"/>
  <c r="P58" i="15"/>
  <c r="P57" i="15" s="1"/>
  <c r="P26" i="15"/>
  <c r="P25" i="15" s="1"/>
  <c r="P105" i="15"/>
  <c r="P106" i="15" s="1"/>
  <c r="P73" i="15"/>
  <c r="P74" i="15" s="1"/>
  <c r="P41" i="15"/>
  <c r="P42" i="15" s="1"/>
  <c r="P9" i="15"/>
  <c r="P10" i="15" s="1"/>
  <c r="N126" i="15"/>
  <c r="N125" i="15" s="1"/>
  <c r="N110" i="15"/>
  <c r="N109" i="15" s="1"/>
  <c r="N94" i="15"/>
  <c r="N93" i="15" s="1"/>
  <c r="N78" i="15"/>
  <c r="N77" i="15" s="1"/>
  <c r="N62" i="15"/>
  <c r="N61" i="15" s="1"/>
  <c r="N46" i="15"/>
  <c r="N45" i="15" s="1"/>
  <c r="N30" i="15"/>
  <c r="N29" i="15" s="1"/>
  <c r="N14" i="15"/>
  <c r="N13" i="15" s="1"/>
  <c r="N117" i="15"/>
  <c r="N118" i="15" s="1"/>
  <c r="N101" i="15"/>
  <c r="N102" i="15" s="1"/>
  <c r="N85" i="15"/>
  <c r="N86" i="15" s="1"/>
  <c r="N69" i="15"/>
  <c r="N70" i="15" s="1"/>
  <c r="N53" i="15"/>
  <c r="N54" i="15" s="1"/>
  <c r="N37" i="15"/>
  <c r="N38" i="15" s="1"/>
  <c r="N21" i="15"/>
  <c r="N22" i="15" s="1"/>
  <c r="N5" i="15"/>
  <c r="N6" i="15" s="1"/>
  <c r="P65" i="14"/>
  <c r="D50" i="14"/>
  <c r="D49" i="14" s="1"/>
  <c r="P49" i="14"/>
  <c r="P50" i="14"/>
  <c r="F58" i="14"/>
  <c r="F57" i="14" s="1"/>
  <c r="F26" i="14"/>
  <c r="F25" i="14" s="1"/>
  <c r="F41" i="14"/>
  <c r="F42" i="14" s="1"/>
  <c r="N58" i="14"/>
  <c r="N57" i="14" s="1"/>
  <c r="N41" i="14"/>
  <c r="N42" i="14" s="1"/>
  <c r="N26" i="14"/>
  <c r="N25" i="14" s="1"/>
  <c r="H62" i="14"/>
  <c r="H61" i="14" s="1"/>
  <c r="H46" i="14"/>
  <c r="H45" i="14" s="1"/>
  <c r="H30" i="14"/>
  <c r="H29" i="14" s="1"/>
  <c r="H53" i="14"/>
  <c r="H54" i="14" s="1"/>
  <c r="H37" i="14"/>
  <c r="H38" i="14" s="1"/>
  <c r="H21" i="14"/>
  <c r="H22" i="14" s="1"/>
  <c r="H14" i="14"/>
  <c r="H13" i="14" s="1"/>
  <c r="H5" i="14"/>
  <c r="H6" i="14" s="1"/>
  <c r="L62" i="14"/>
  <c r="L61" i="14" s="1"/>
  <c r="L46" i="14"/>
  <c r="L45" i="14" s="1"/>
  <c r="L30" i="14"/>
  <c r="L29" i="14" s="1"/>
  <c r="L53" i="14"/>
  <c r="L54" i="14" s="1"/>
  <c r="L37" i="14"/>
  <c r="L38" i="14" s="1"/>
  <c r="L21" i="14"/>
  <c r="L22" i="14" s="1"/>
  <c r="L14" i="14"/>
  <c r="L13" i="14" s="1"/>
  <c r="L5" i="14"/>
  <c r="F29" i="13"/>
  <c r="F22" i="13"/>
  <c r="F13" i="13"/>
  <c r="F6" i="13"/>
  <c r="D25" i="13"/>
  <c r="L25" i="13"/>
  <c r="J22" i="13"/>
  <c r="J29" i="13"/>
  <c r="J13" i="13"/>
  <c r="L37" i="13"/>
  <c r="D26" i="13"/>
  <c r="F30" i="13"/>
  <c r="F21" i="13"/>
  <c r="L26" i="13"/>
  <c r="J30" i="13"/>
  <c r="J21" i="13"/>
  <c r="F14" i="13"/>
  <c r="J14" i="13"/>
  <c r="F5" i="13"/>
  <c r="D9" i="13" s="1"/>
  <c r="B17" i="13" s="1"/>
  <c r="B18" i="13" s="1"/>
  <c r="J5" i="13"/>
  <c r="J6" i="13" s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H18" i="3"/>
  <c r="H17" i="3"/>
  <c r="H16" i="3"/>
  <c r="H15" i="3"/>
  <c r="H14" i="3"/>
  <c r="H6" i="3"/>
  <c r="H5" i="3"/>
  <c r="H4" i="3"/>
  <c r="H3" i="3"/>
  <c r="H2" i="3"/>
  <c r="F12" i="3"/>
  <c r="F11" i="3"/>
  <c r="F10" i="3"/>
  <c r="F9" i="3"/>
  <c r="F8" i="3"/>
  <c r="F24" i="3"/>
  <c r="F23" i="3"/>
  <c r="F22" i="3"/>
  <c r="F21" i="3"/>
  <c r="F20" i="3"/>
  <c r="D18" i="3"/>
  <c r="D17" i="3"/>
  <c r="D16" i="3"/>
  <c r="D15" i="3"/>
  <c r="D14" i="3"/>
  <c r="D6" i="3"/>
  <c r="D5" i="3"/>
  <c r="D4" i="3"/>
  <c r="D3" i="3"/>
  <c r="D2" i="3"/>
  <c r="B24" i="3"/>
  <c r="B23" i="3"/>
  <c r="B22" i="3"/>
  <c r="B21" i="3"/>
  <c r="B12" i="3"/>
  <c r="B11" i="3"/>
  <c r="B10" i="3"/>
  <c r="B9" i="3"/>
  <c r="B8" i="3"/>
  <c r="H24" i="3"/>
  <c r="H23" i="3"/>
  <c r="H22" i="3"/>
  <c r="H21" i="3"/>
  <c r="H20" i="3"/>
  <c r="H12" i="3"/>
  <c r="H11" i="3"/>
  <c r="H10" i="3"/>
  <c r="H9" i="3"/>
  <c r="H8" i="3"/>
  <c r="F18" i="3"/>
  <c r="F17" i="3"/>
  <c r="F16" i="3"/>
  <c r="F15" i="3"/>
  <c r="F14" i="3"/>
  <c r="F6" i="3"/>
  <c r="F5" i="3"/>
  <c r="F4" i="3"/>
  <c r="F3" i="3"/>
  <c r="F2" i="3"/>
  <c r="D24" i="3"/>
  <c r="D23" i="3"/>
  <c r="D22" i="3"/>
  <c r="D21" i="3"/>
  <c r="D20" i="3"/>
  <c r="D12" i="3"/>
  <c r="D11" i="3"/>
  <c r="D10" i="3"/>
  <c r="D9" i="3"/>
  <c r="D8" i="3"/>
  <c r="B18" i="3"/>
  <c r="B17" i="3"/>
  <c r="B16" i="3"/>
  <c r="B15" i="3"/>
  <c r="B14" i="3"/>
  <c r="B2" i="3"/>
  <c r="B6" i="3"/>
  <c r="B5" i="3"/>
  <c r="B4" i="3"/>
  <c r="B3" i="3"/>
  <c r="E2" i="5" s="1"/>
  <c r="A225" i="4" a="1"/>
  <c r="A225" i="4" s="1"/>
  <c r="A220" i="4" a="1"/>
  <c r="A220" i="4" s="1"/>
  <c r="A215" i="4" a="1"/>
  <c r="A215" i="4" s="1"/>
  <c r="A210" i="4" a="1"/>
  <c r="A210" i="4" s="1"/>
  <c r="A205" i="4" a="1"/>
  <c r="A205" i="4" s="1"/>
  <c r="A200" i="4" a="1"/>
  <c r="A200" i="4" s="1"/>
  <c r="A195" i="4" a="1"/>
  <c r="A195" i="4" s="1"/>
  <c r="A190" i="4" a="1"/>
  <c r="A190" i="4" s="1"/>
  <c r="A185" i="4" a="1"/>
  <c r="A185" i="4" s="1"/>
  <c r="A180" i="4" a="1"/>
  <c r="A180" i="4" s="1"/>
  <c r="A175" i="4" a="1"/>
  <c r="A175" i="4" s="1"/>
  <c r="A170" i="4" a="1"/>
  <c r="A170" i="4" s="1"/>
  <c r="A165" i="4" a="1"/>
  <c r="A165" i="4" s="1"/>
  <c r="A160" i="4" a="1"/>
  <c r="A160" i="4" s="1"/>
  <c r="A155" i="4" a="1"/>
  <c r="A155" i="4" s="1"/>
  <c r="A150" i="4" a="1"/>
  <c r="A150" i="4" s="1"/>
  <c r="F41" i="16" l="1"/>
  <c r="F42" i="16" s="1"/>
  <c r="F26" i="18"/>
  <c r="F26" i="16"/>
  <c r="F25" i="16" s="1"/>
  <c r="F9" i="17"/>
  <c r="F10" i="17" s="1"/>
  <c r="F9" i="16"/>
  <c r="N9" i="16"/>
  <c r="N10" i="16" s="1"/>
  <c r="F41" i="18"/>
  <c r="F42" i="18" s="1"/>
  <c r="F41" i="17"/>
  <c r="F42" i="17" s="1"/>
  <c r="H45" i="16"/>
  <c r="N26" i="18"/>
  <c r="N25" i="18" s="1"/>
  <c r="F26" i="17"/>
  <c r="F25" i="17" s="1"/>
  <c r="N26" i="17"/>
  <c r="N25" i="17" s="1"/>
  <c r="N26" i="16"/>
  <c r="N25" i="16" s="1"/>
  <c r="H38" i="18"/>
  <c r="F58" i="16"/>
  <c r="H6" i="17"/>
  <c r="F25" i="18"/>
  <c r="F9" i="18"/>
  <c r="F10" i="18" s="1"/>
  <c r="N9" i="18"/>
  <c r="N10" i="18" s="1"/>
  <c r="H29" i="18"/>
  <c r="L29" i="18"/>
  <c r="F58" i="18"/>
  <c r="N58" i="18"/>
  <c r="N41" i="18"/>
  <c r="N42" i="18" s="1"/>
  <c r="N9" i="17"/>
  <c r="N10" i="17" s="1"/>
  <c r="H38" i="17"/>
  <c r="L29" i="17"/>
  <c r="F58" i="17"/>
  <c r="N58" i="17"/>
  <c r="N41" i="17"/>
  <c r="N42" i="17" s="1"/>
  <c r="N58" i="16"/>
  <c r="F10" i="16"/>
  <c r="N41" i="16"/>
  <c r="N42" i="16" s="1"/>
  <c r="E13" i="5"/>
  <c r="E36" i="5"/>
  <c r="E24" i="5"/>
  <c r="E12" i="5"/>
  <c r="E35" i="5"/>
  <c r="E23" i="5"/>
  <c r="E11" i="5"/>
  <c r="E34" i="5"/>
  <c r="E22" i="5"/>
  <c r="E10" i="5"/>
  <c r="E33" i="5"/>
  <c r="E21" i="5"/>
  <c r="E9" i="5"/>
  <c r="E32" i="5"/>
  <c r="E20" i="5"/>
  <c r="E8" i="5"/>
  <c r="E25" i="5"/>
  <c r="E31" i="5"/>
  <c r="E19" i="5"/>
  <c r="E7" i="5"/>
  <c r="E37" i="5"/>
  <c r="E30" i="5"/>
  <c r="E18" i="5"/>
  <c r="E6" i="5"/>
  <c r="E29" i="5"/>
  <c r="E17" i="5"/>
  <c r="E5" i="5"/>
  <c r="E28" i="5"/>
  <c r="E16" i="5"/>
  <c r="E4" i="5"/>
  <c r="E27" i="5"/>
  <c r="E15" i="5"/>
  <c r="E3" i="5"/>
  <c r="E26" i="5"/>
  <c r="E14" i="5"/>
  <c r="N9" i="14"/>
  <c r="N10" i="14" s="1"/>
  <c r="B3" i="8"/>
  <c r="F9" i="14"/>
  <c r="F10" i="14" s="1"/>
  <c r="L6" i="14"/>
  <c r="D10" i="13"/>
  <c r="L9" i="13"/>
  <c r="L32" i="13"/>
  <c r="N34" i="13" s="1"/>
  <c r="N35" i="13" s="1"/>
  <c r="AD17" i="4" a="1"/>
  <c r="AD17" i="4" s="1"/>
  <c r="AD16" i="4" a="1"/>
  <c r="AD16" i="4" s="1"/>
  <c r="AD15" i="4" a="1"/>
  <c r="AD15" i="4" s="1"/>
  <c r="AD14" i="4" a="1"/>
  <c r="AD14" i="4" s="1"/>
  <c r="AD13" i="4" a="1"/>
  <c r="AD13" i="4" s="1"/>
  <c r="AD12" i="4" a="1"/>
  <c r="AD12" i="4" s="1"/>
  <c r="AD11" i="4" a="1"/>
  <c r="AD11" i="4" s="1"/>
  <c r="AD10" i="4" a="1"/>
  <c r="AD10" i="4" s="1"/>
  <c r="AD9" i="4" a="1"/>
  <c r="AD9" i="4" s="1"/>
  <c r="AD8" i="4" a="1"/>
  <c r="AD8" i="4" s="1"/>
  <c r="AD7" i="4" a="1"/>
  <c r="AD7" i="4" s="1"/>
  <c r="AD6" i="4" a="1"/>
  <c r="AD6" i="4" s="1"/>
  <c r="AD5" i="4" a="1"/>
  <c r="AD5" i="4" s="1"/>
  <c r="AD4" i="4" a="1"/>
  <c r="AD4" i="4" s="1"/>
  <c r="AD3" i="4" a="1"/>
  <c r="AD3" i="4" s="1"/>
  <c r="AD2" i="4" a="1"/>
  <c r="AD2" i="4" s="1"/>
  <c r="AB17" i="4" a="1"/>
  <c r="AB17" i="4" s="1"/>
  <c r="AB16" i="4" a="1"/>
  <c r="AB16" i="4" s="1"/>
  <c r="AB15" i="4" a="1"/>
  <c r="AB15" i="4" s="1"/>
  <c r="AB14" i="4" a="1"/>
  <c r="AB14" i="4" s="1"/>
  <c r="AB13" i="4" a="1"/>
  <c r="AB13" i="4" s="1"/>
  <c r="AB12" i="4" a="1"/>
  <c r="AB12" i="4" s="1"/>
  <c r="AB11" i="4" a="1"/>
  <c r="AB11" i="4" s="1"/>
  <c r="AB10" i="4" a="1"/>
  <c r="AB10" i="4" s="1"/>
  <c r="AB9" i="4" a="1"/>
  <c r="AB9" i="4" s="1"/>
  <c r="AB8" i="4" a="1"/>
  <c r="AB8" i="4" s="1"/>
  <c r="AB7" i="4" a="1"/>
  <c r="AB7" i="4" s="1"/>
  <c r="AB6" i="4" a="1"/>
  <c r="AB6" i="4" s="1"/>
  <c r="AB5" i="4" a="1"/>
  <c r="AB5" i="4" s="1"/>
  <c r="AB4" i="4" a="1"/>
  <c r="AB4" i="4" s="1"/>
  <c r="AB3" i="4" a="1"/>
  <c r="AB3" i="4" s="1"/>
  <c r="AB2" i="4" a="1"/>
  <c r="AB2" i="4" s="1"/>
  <c r="Z17" i="4" a="1"/>
  <c r="Z17" i="4" s="1"/>
  <c r="Z16" i="4" a="1"/>
  <c r="Z16" i="4" s="1"/>
  <c r="Z15" i="4" a="1"/>
  <c r="Z15" i="4" s="1"/>
  <c r="Z14" i="4" a="1"/>
  <c r="Z14" i="4" s="1"/>
  <c r="Z13" i="4" a="1"/>
  <c r="Z13" i="4" s="1"/>
  <c r="Z12" i="4" a="1"/>
  <c r="Z12" i="4" s="1"/>
  <c r="Z11" i="4" a="1"/>
  <c r="Z11" i="4" s="1"/>
  <c r="Z10" i="4" a="1"/>
  <c r="Z10" i="4" s="1"/>
  <c r="Z9" i="4" a="1"/>
  <c r="Z9" i="4" s="1"/>
  <c r="Z8" i="4" a="1"/>
  <c r="Z8" i="4" s="1"/>
  <c r="Z7" i="4" a="1"/>
  <c r="Z7" i="4" s="1"/>
  <c r="Z6" i="4" a="1"/>
  <c r="Z6" i="4" s="1"/>
  <c r="Z5" i="4" a="1"/>
  <c r="Z5" i="4" s="1"/>
  <c r="Z4" i="4" a="1"/>
  <c r="Z4" i="4" s="1"/>
  <c r="Z3" i="4" a="1"/>
  <c r="Z3" i="4" s="1"/>
  <c r="Z2" i="4" a="1"/>
  <c r="Z2" i="4" s="1"/>
  <c r="X17" i="4" a="1"/>
  <c r="X17" i="4" s="1"/>
  <c r="X16" i="4" a="1"/>
  <c r="X16" i="4" s="1"/>
  <c r="X15" i="4" a="1"/>
  <c r="X15" i="4" s="1"/>
  <c r="V17" i="4" a="1"/>
  <c r="V17" i="4" s="1"/>
  <c r="V16" i="4" a="1"/>
  <c r="V16" i="4" s="1"/>
  <c r="V15" i="4" a="1"/>
  <c r="V15" i="4" s="1"/>
  <c r="V14" i="4" a="1"/>
  <c r="V14" i="4" s="1"/>
  <c r="X14" i="4" a="1"/>
  <c r="X14" i="4" s="1"/>
  <c r="X13" i="4" a="1"/>
  <c r="X13" i="4" s="1"/>
  <c r="X12" i="4" a="1"/>
  <c r="X12" i="4" s="1"/>
  <c r="X11" i="4" a="1"/>
  <c r="X11" i="4" s="1"/>
  <c r="X10" i="4" a="1"/>
  <c r="X10" i="4" s="1"/>
  <c r="X9" i="4" a="1"/>
  <c r="X9" i="4" s="1"/>
  <c r="X8" i="4" a="1"/>
  <c r="X8" i="4" s="1"/>
  <c r="X7" i="4" a="1"/>
  <c r="X7" i="4" s="1"/>
  <c r="X6" i="4" a="1"/>
  <c r="X6" i="4" s="1"/>
  <c r="X5" i="4" a="1"/>
  <c r="X5" i="4" s="1"/>
  <c r="X4" i="4" a="1"/>
  <c r="X4" i="4" s="1"/>
  <c r="X3" i="4" a="1"/>
  <c r="X3" i="4" s="1"/>
  <c r="X2" i="4" a="1"/>
  <c r="X2" i="4" s="1"/>
  <c r="V12" i="4" a="1"/>
  <c r="V12" i="4" s="1"/>
  <c r="V13" i="4" a="1"/>
  <c r="V13" i="4" s="1"/>
  <c r="V11" i="4" a="1"/>
  <c r="V11" i="4" s="1"/>
  <c r="V10" i="4" a="1"/>
  <c r="V10" i="4" s="1"/>
  <c r="V9" i="4" a="1"/>
  <c r="V9" i="4" s="1"/>
  <c r="V8" i="4" a="1"/>
  <c r="V8" i="4" s="1"/>
  <c r="V7" i="4" a="1"/>
  <c r="V7" i="4" s="1"/>
  <c r="V6" i="4" a="1"/>
  <c r="V6" i="4" s="1"/>
  <c r="V5" i="4" a="1"/>
  <c r="V5" i="4" s="1"/>
  <c r="V4" i="4" a="1"/>
  <c r="V4" i="4" s="1"/>
  <c r="V3" i="4" a="1"/>
  <c r="V3" i="4" s="1"/>
  <c r="V2" i="4" a="1"/>
  <c r="V2" i="4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S110" i="4" a="1"/>
  <c r="S110" i="4" s="1"/>
  <c r="N110" i="4" a="1"/>
  <c r="N110" i="4" s="1"/>
  <c r="K110" i="4" s="1"/>
  <c r="K117" i="4" s="1"/>
  <c r="I110" i="4" a="1"/>
  <c r="I110" i="4" s="1"/>
  <c r="D110" i="4" a="1"/>
  <c r="D110" i="4" s="1"/>
  <c r="P109" i="4"/>
  <c r="K109" i="4"/>
  <c r="F109" i="4"/>
  <c r="A109" i="4"/>
  <c r="R132" i="4"/>
  <c r="Q132" i="4"/>
  <c r="M132" i="4"/>
  <c r="L132" i="4"/>
  <c r="H132" i="4"/>
  <c r="G132" i="4"/>
  <c r="C132" i="4"/>
  <c r="B132" i="4"/>
  <c r="R131" i="4"/>
  <c r="Q131" i="4"/>
  <c r="M131" i="4"/>
  <c r="L131" i="4"/>
  <c r="H131" i="4"/>
  <c r="G131" i="4"/>
  <c r="C131" i="4"/>
  <c r="B131" i="4"/>
  <c r="R130" i="4"/>
  <c r="Q130" i="4"/>
  <c r="M130" i="4"/>
  <c r="L130" i="4"/>
  <c r="H130" i="4"/>
  <c r="G130" i="4"/>
  <c r="C130" i="4"/>
  <c r="B130" i="4"/>
  <c r="R129" i="4"/>
  <c r="Q129" i="4"/>
  <c r="M129" i="4"/>
  <c r="L129" i="4"/>
  <c r="H129" i="4"/>
  <c r="G129" i="4"/>
  <c r="C129" i="4"/>
  <c r="B129" i="4"/>
  <c r="R128" i="4"/>
  <c r="Q128" i="4"/>
  <c r="M128" i="4"/>
  <c r="L128" i="4"/>
  <c r="H128" i="4"/>
  <c r="G128" i="4"/>
  <c r="C128" i="4"/>
  <c r="B128" i="4"/>
  <c r="S74" i="4" a="1"/>
  <c r="S74" i="4" s="1"/>
  <c r="N74" i="4" a="1"/>
  <c r="N74" i="4" s="1"/>
  <c r="K74" i="4" s="1"/>
  <c r="I74" i="4" a="1"/>
  <c r="I74" i="4" s="1"/>
  <c r="D74" i="4" a="1"/>
  <c r="D74" i="4" s="1"/>
  <c r="P73" i="4"/>
  <c r="K73" i="4"/>
  <c r="F73" i="4"/>
  <c r="A73" i="4"/>
  <c r="R96" i="4"/>
  <c r="Q96" i="4"/>
  <c r="M96" i="4"/>
  <c r="L96" i="4"/>
  <c r="H96" i="4"/>
  <c r="G96" i="4"/>
  <c r="C96" i="4"/>
  <c r="B96" i="4"/>
  <c r="R95" i="4"/>
  <c r="Q95" i="4"/>
  <c r="M95" i="4"/>
  <c r="L95" i="4"/>
  <c r="H95" i="4"/>
  <c r="G95" i="4"/>
  <c r="C95" i="4"/>
  <c r="B95" i="4"/>
  <c r="R94" i="4"/>
  <c r="Q94" i="4"/>
  <c r="M94" i="4"/>
  <c r="L94" i="4"/>
  <c r="H94" i="4"/>
  <c r="G94" i="4"/>
  <c r="C94" i="4"/>
  <c r="B94" i="4"/>
  <c r="R93" i="4"/>
  <c r="Q93" i="4"/>
  <c r="M93" i="4"/>
  <c r="L93" i="4"/>
  <c r="H93" i="4"/>
  <c r="G93" i="4"/>
  <c r="C93" i="4"/>
  <c r="B93" i="4"/>
  <c r="R92" i="4"/>
  <c r="Q92" i="4"/>
  <c r="M92" i="4"/>
  <c r="L92" i="4"/>
  <c r="H92" i="4"/>
  <c r="G92" i="4"/>
  <c r="C92" i="4"/>
  <c r="B92" i="4"/>
  <c r="R60" i="4"/>
  <c r="Q60" i="4"/>
  <c r="R59" i="4"/>
  <c r="Q59" i="4"/>
  <c r="R58" i="4"/>
  <c r="Q58" i="4"/>
  <c r="R57" i="4"/>
  <c r="Q57" i="4"/>
  <c r="R56" i="4"/>
  <c r="Q56" i="4"/>
  <c r="M60" i="4"/>
  <c r="L60" i="4"/>
  <c r="M59" i="4"/>
  <c r="L59" i="4"/>
  <c r="M58" i="4"/>
  <c r="L58" i="4"/>
  <c r="M57" i="4"/>
  <c r="L57" i="4"/>
  <c r="M56" i="4"/>
  <c r="L56" i="4"/>
  <c r="K47" i="4"/>
  <c r="H60" i="4"/>
  <c r="G60" i="4"/>
  <c r="H59" i="4"/>
  <c r="G59" i="4"/>
  <c r="H58" i="4"/>
  <c r="G58" i="4"/>
  <c r="H57" i="4"/>
  <c r="G57" i="4"/>
  <c r="H56" i="4"/>
  <c r="G56" i="4"/>
  <c r="S2" i="4" a="1"/>
  <c r="S2" i="4" s="1"/>
  <c r="P2" i="4" s="1"/>
  <c r="N2" i="4" a="1"/>
  <c r="N2" i="4" s="1"/>
  <c r="K2" i="4" s="1"/>
  <c r="K20" i="4" s="1"/>
  <c r="I2" i="4" a="1"/>
  <c r="I2" i="4" s="1"/>
  <c r="F2" i="4" s="1"/>
  <c r="C60" i="4"/>
  <c r="B60" i="4"/>
  <c r="C59" i="4"/>
  <c r="B59" i="4"/>
  <c r="C58" i="4"/>
  <c r="B58" i="4"/>
  <c r="C57" i="4"/>
  <c r="B57" i="4"/>
  <c r="C56" i="4"/>
  <c r="B56" i="4"/>
  <c r="P37" i="4"/>
  <c r="K37" i="4"/>
  <c r="F37" i="4"/>
  <c r="A37" i="4"/>
  <c r="S38" i="4" a="1"/>
  <c r="S38" i="4" s="1"/>
  <c r="P38" i="4" s="1"/>
  <c r="P45" i="4" s="1"/>
  <c r="N38" i="4" a="1"/>
  <c r="N38" i="4" s="1"/>
  <c r="K38" i="4" s="1"/>
  <c r="K56" i="4" s="1"/>
  <c r="I38" i="4" a="1"/>
  <c r="I38" i="4" s="1"/>
  <c r="F38" i="4" s="1"/>
  <c r="F45" i="4" s="1"/>
  <c r="D38" i="4" a="1"/>
  <c r="D38" i="4" s="1"/>
  <c r="A38" i="4" s="1"/>
  <c r="A45" i="4" s="1"/>
  <c r="K42" i="4"/>
  <c r="K60" i="4" s="1"/>
  <c r="K41" i="4"/>
  <c r="K53" i="4" s="1"/>
  <c r="P1" i="4"/>
  <c r="K1" i="4"/>
  <c r="F1" i="4"/>
  <c r="A1" i="4"/>
  <c r="R24" i="4"/>
  <c r="Q24" i="4"/>
  <c r="R23" i="4"/>
  <c r="Q23" i="4"/>
  <c r="R22" i="4"/>
  <c r="Q22" i="4"/>
  <c r="R21" i="4"/>
  <c r="Q21" i="4"/>
  <c r="R20" i="4"/>
  <c r="Q20" i="4"/>
  <c r="M24" i="4"/>
  <c r="L24" i="4"/>
  <c r="M23" i="4"/>
  <c r="L23" i="4"/>
  <c r="M22" i="4"/>
  <c r="L22" i="4"/>
  <c r="M21" i="4"/>
  <c r="L21" i="4"/>
  <c r="M20" i="4"/>
  <c r="L20" i="4"/>
  <c r="H24" i="4"/>
  <c r="G24" i="4"/>
  <c r="H23" i="4"/>
  <c r="G23" i="4"/>
  <c r="H22" i="4"/>
  <c r="G22" i="4"/>
  <c r="H21" i="4"/>
  <c r="G21" i="4"/>
  <c r="H20" i="4"/>
  <c r="G20" i="4"/>
  <c r="D2" i="4" a="1"/>
  <c r="D2" i="4" s="1"/>
  <c r="A2" i="4" s="1"/>
  <c r="A20" i="4" s="1"/>
  <c r="C24" i="4"/>
  <c r="B24" i="4"/>
  <c r="C23" i="4"/>
  <c r="B23" i="4"/>
  <c r="C22" i="4"/>
  <c r="B22" i="4"/>
  <c r="C21" i="4"/>
  <c r="B21" i="4"/>
  <c r="C20" i="4"/>
  <c r="B20" i="4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2" i="1"/>
  <c r="D17" i="16" l="1"/>
  <c r="D18" i="16" s="1"/>
  <c r="P60" i="16"/>
  <c r="D17" i="17"/>
  <c r="D18" i="17" s="1"/>
  <c r="P17" i="16"/>
  <c r="P18" i="16" s="1"/>
  <c r="D50" i="16"/>
  <c r="F57" i="16"/>
  <c r="P65" i="18"/>
  <c r="P50" i="18"/>
  <c r="N57" i="18"/>
  <c r="D50" i="18"/>
  <c r="F57" i="18"/>
  <c r="P60" i="18"/>
  <c r="P17" i="18"/>
  <c r="P18" i="18" s="1"/>
  <c r="D17" i="18"/>
  <c r="D18" i="18" s="1"/>
  <c r="P65" i="17"/>
  <c r="P50" i="17"/>
  <c r="N57" i="17"/>
  <c r="D50" i="17"/>
  <c r="F57" i="17"/>
  <c r="P60" i="17"/>
  <c r="P17" i="17"/>
  <c r="P18" i="17" s="1"/>
  <c r="P65" i="16"/>
  <c r="P50" i="16"/>
  <c r="N57" i="16"/>
  <c r="C24" i="1"/>
  <c r="K78" i="4"/>
  <c r="K75" i="4"/>
  <c r="K84" i="4" s="1"/>
  <c r="K76" i="4"/>
  <c r="N84" i="4" s="1"/>
  <c r="N49" i="4"/>
  <c r="K44" i="4"/>
  <c r="K63" i="4"/>
  <c r="K46" i="4"/>
  <c r="K39" i="4"/>
  <c r="N46" i="4"/>
  <c r="A77" i="4"/>
  <c r="A102" i="4" s="1"/>
  <c r="K111" i="4"/>
  <c r="K120" i="4" s="1"/>
  <c r="K112" i="4"/>
  <c r="N120" i="4" s="1"/>
  <c r="K114" i="4"/>
  <c r="C59" i="1"/>
  <c r="C60" i="1"/>
  <c r="C48" i="1"/>
  <c r="C12" i="1"/>
  <c r="P60" i="14"/>
  <c r="P17" i="14"/>
  <c r="P18" i="14" s="1"/>
  <c r="D17" i="14"/>
  <c r="B33" i="14" s="1"/>
  <c r="B34" i="14" s="1"/>
  <c r="N17" i="13"/>
  <c r="N18" i="13" s="1"/>
  <c r="L10" i="13"/>
  <c r="A113" i="4"/>
  <c r="A125" i="4" s="1"/>
  <c r="A112" i="4"/>
  <c r="D120" i="4" s="1"/>
  <c r="A111" i="4"/>
  <c r="D116" i="4" s="1"/>
  <c r="Z18" i="4" a="1"/>
  <c r="Z18" i="4" s="1"/>
  <c r="Z34" i="4" s="1" a="1"/>
  <c r="Z34" i="4" s="1"/>
  <c r="X18" i="4" a="1"/>
  <c r="V18" i="4" a="1"/>
  <c r="AB18" i="4" a="1"/>
  <c r="AD18" i="4" a="1"/>
  <c r="F5" i="4"/>
  <c r="F17" i="4" s="1"/>
  <c r="F6" i="4"/>
  <c r="K4" i="4"/>
  <c r="K15" i="4" s="1"/>
  <c r="N44" i="4"/>
  <c r="N50" i="4"/>
  <c r="K5" i="4"/>
  <c r="N13" i="4" s="1"/>
  <c r="K40" i="4"/>
  <c r="K45" i="4"/>
  <c r="K66" i="4"/>
  <c r="A76" i="4"/>
  <c r="D84" i="4" s="1"/>
  <c r="K113" i="4"/>
  <c r="N118" i="4" s="1"/>
  <c r="F4" i="4"/>
  <c r="F16" i="4" s="1"/>
  <c r="K6" i="4"/>
  <c r="K24" i="4" s="1"/>
  <c r="N51" i="4"/>
  <c r="K67" i="4"/>
  <c r="L67" i="4" s="1" a="1"/>
  <c r="L67" i="4" s="1"/>
  <c r="K3" i="4"/>
  <c r="K28" i="4" s="1"/>
  <c r="N52" i="4"/>
  <c r="K59" i="4"/>
  <c r="P3" i="4"/>
  <c r="P13" i="4" s="1"/>
  <c r="A6" i="4"/>
  <c r="A24" i="4" s="1"/>
  <c r="P4" i="4"/>
  <c r="P16" i="4" s="1"/>
  <c r="A5" i="4"/>
  <c r="A17" i="4" s="1"/>
  <c r="P5" i="4"/>
  <c r="P17" i="4" s="1"/>
  <c r="N47" i="4"/>
  <c r="N53" i="4"/>
  <c r="K77" i="4"/>
  <c r="N87" i="4" s="1"/>
  <c r="K48" i="4"/>
  <c r="A4" i="4"/>
  <c r="A15" i="4" s="1"/>
  <c r="P6" i="4"/>
  <c r="S17" i="4" s="1"/>
  <c r="A3" i="4"/>
  <c r="D8" i="4" s="1"/>
  <c r="P112" i="4"/>
  <c r="P130" i="4" s="1"/>
  <c r="F3" i="4"/>
  <c r="F13" i="4" s="1"/>
  <c r="R67" i="4"/>
  <c r="M66" i="4"/>
  <c r="R138" i="4"/>
  <c r="R103" i="4"/>
  <c r="R28" i="4"/>
  <c r="M139" i="4"/>
  <c r="M136" i="4"/>
  <c r="M103" i="4"/>
  <c r="H100" i="4"/>
  <c r="H30" i="4"/>
  <c r="C139" i="4"/>
  <c r="C136" i="4"/>
  <c r="C63" i="4"/>
  <c r="R139" i="4"/>
  <c r="R137" i="4"/>
  <c r="R135" i="4"/>
  <c r="R136" i="4"/>
  <c r="R102" i="4"/>
  <c r="R101" i="4"/>
  <c r="R100" i="4"/>
  <c r="R99" i="4"/>
  <c r="R66" i="4"/>
  <c r="R64" i="4"/>
  <c r="R65" i="4"/>
  <c r="R63" i="4"/>
  <c r="R31" i="4"/>
  <c r="R30" i="4"/>
  <c r="R29" i="4"/>
  <c r="R27" i="4"/>
  <c r="M138" i="4"/>
  <c r="M137" i="4"/>
  <c r="M135" i="4"/>
  <c r="M101" i="4"/>
  <c r="M102" i="4"/>
  <c r="M100" i="4"/>
  <c r="M99" i="4"/>
  <c r="M67" i="4"/>
  <c r="M65" i="4"/>
  <c r="M64" i="4"/>
  <c r="M63" i="4"/>
  <c r="M31" i="4"/>
  <c r="M30" i="4"/>
  <c r="M29" i="4"/>
  <c r="M28" i="4"/>
  <c r="M27" i="4"/>
  <c r="H139" i="4"/>
  <c r="H138" i="4"/>
  <c r="H137" i="4"/>
  <c r="H136" i="4"/>
  <c r="H135" i="4"/>
  <c r="H101" i="4"/>
  <c r="H103" i="4"/>
  <c r="H102" i="4"/>
  <c r="H99" i="4"/>
  <c r="H64" i="4"/>
  <c r="H67" i="4"/>
  <c r="H63" i="4"/>
  <c r="H65" i="4"/>
  <c r="H66" i="4"/>
  <c r="H31" i="4"/>
  <c r="H29" i="4"/>
  <c r="H27" i="4"/>
  <c r="H28" i="4"/>
  <c r="C137" i="4"/>
  <c r="C138" i="4"/>
  <c r="C135" i="4"/>
  <c r="C103" i="4"/>
  <c r="C102" i="4"/>
  <c r="C101" i="4"/>
  <c r="C100" i="4"/>
  <c r="C99" i="4"/>
  <c r="C66" i="4"/>
  <c r="C67" i="4"/>
  <c r="C65" i="4"/>
  <c r="C64" i="4"/>
  <c r="C31" i="4"/>
  <c r="C30" i="4"/>
  <c r="C28" i="4"/>
  <c r="C29" i="4"/>
  <c r="C27" i="4"/>
  <c r="B2" i="8"/>
  <c r="F113" i="4"/>
  <c r="I118" i="4" s="1"/>
  <c r="F112" i="4"/>
  <c r="F124" i="4" s="1"/>
  <c r="A47" i="4"/>
  <c r="A39" i="4"/>
  <c r="A56" i="4"/>
  <c r="A41" i="4"/>
  <c r="A42" i="4"/>
  <c r="A63" i="4"/>
  <c r="A44" i="4"/>
  <c r="A46" i="4"/>
  <c r="A40" i="4"/>
  <c r="P76" i="4"/>
  <c r="P94" i="4" s="1"/>
  <c r="P46" i="4"/>
  <c r="P47" i="4"/>
  <c r="P56" i="4"/>
  <c r="P39" i="4"/>
  <c r="P44" i="4"/>
  <c r="P63" i="4"/>
  <c r="P40" i="4"/>
  <c r="P41" i="4"/>
  <c r="P42" i="4"/>
  <c r="F76" i="4"/>
  <c r="F101" i="4" s="1"/>
  <c r="F77" i="4"/>
  <c r="F89" i="4" s="1"/>
  <c r="F46" i="4"/>
  <c r="F47" i="4"/>
  <c r="F39" i="4"/>
  <c r="F56" i="4"/>
  <c r="F40" i="4"/>
  <c r="F41" i="4"/>
  <c r="F42" i="4"/>
  <c r="F63" i="4"/>
  <c r="F44" i="4"/>
  <c r="K125" i="4"/>
  <c r="N125" i="4"/>
  <c r="N116" i="4"/>
  <c r="N119" i="4"/>
  <c r="K119" i="4"/>
  <c r="P110" i="4"/>
  <c r="P113" i="4"/>
  <c r="K116" i="4"/>
  <c r="A114" i="4"/>
  <c r="K118" i="4"/>
  <c r="K132" i="4"/>
  <c r="F111" i="4"/>
  <c r="F114" i="4"/>
  <c r="N124" i="4"/>
  <c r="A110" i="4"/>
  <c r="K135" i="4"/>
  <c r="K138" i="4"/>
  <c r="P111" i="4"/>
  <c r="P114" i="4"/>
  <c r="K128" i="4"/>
  <c r="K130" i="4"/>
  <c r="F110" i="4"/>
  <c r="N80" i="4"/>
  <c r="K86" i="4"/>
  <c r="K103" i="4"/>
  <c r="L103" i="4" s="1" a="1"/>
  <c r="L103" i="4" s="1"/>
  <c r="N88" i="4"/>
  <c r="K96" i="4"/>
  <c r="N89" i="4"/>
  <c r="N86" i="4"/>
  <c r="N83" i="4"/>
  <c r="K83" i="4"/>
  <c r="K81" i="4"/>
  <c r="K80" i="4"/>
  <c r="K99" i="4"/>
  <c r="K92" i="4"/>
  <c r="K82" i="4"/>
  <c r="P74" i="4"/>
  <c r="P77" i="4"/>
  <c r="A75" i="4"/>
  <c r="A78" i="4"/>
  <c r="K85" i="4"/>
  <c r="K88" i="4"/>
  <c r="K93" i="4"/>
  <c r="F75" i="4"/>
  <c r="F78" i="4"/>
  <c r="A74" i="4"/>
  <c r="K100" i="4"/>
  <c r="K101" i="4"/>
  <c r="K102" i="4"/>
  <c r="P75" i="4"/>
  <c r="P78" i="4"/>
  <c r="K87" i="4"/>
  <c r="K94" i="4"/>
  <c r="F74" i="4"/>
  <c r="N81" i="4"/>
  <c r="P11" i="4"/>
  <c r="P20" i="4"/>
  <c r="F11" i="4"/>
  <c r="F10" i="4"/>
  <c r="F27" i="4"/>
  <c r="F9" i="4"/>
  <c r="F8" i="4"/>
  <c r="F20" i="4"/>
  <c r="S13" i="4"/>
  <c r="P21" i="4"/>
  <c r="P27" i="4"/>
  <c r="P8" i="4"/>
  <c r="P14" i="4"/>
  <c r="P28" i="4"/>
  <c r="P12" i="4"/>
  <c r="S8" i="4"/>
  <c r="P29" i="4"/>
  <c r="P15" i="4"/>
  <c r="P30" i="4"/>
  <c r="S12" i="4"/>
  <c r="P9" i="4"/>
  <c r="S9" i="4"/>
  <c r="S15" i="4"/>
  <c r="P10" i="4"/>
  <c r="S10" i="4"/>
  <c r="P23" i="4"/>
  <c r="K27" i="4"/>
  <c r="K9" i="4"/>
  <c r="K30" i="4"/>
  <c r="K8" i="4"/>
  <c r="N15" i="4"/>
  <c r="N10" i="4"/>
  <c r="K23" i="4"/>
  <c r="K11" i="4"/>
  <c r="K17" i="4"/>
  <c r="K10" i="4"/>
  <c r="I8" i="4"/>
  <c r="F28" i="4"/>
  <c r="A10" i="4"/>
  <c r="A27" i="4"/>
  <c r="A13" i="4"/>
  <c r="A8" i="4"/>
  <c r="A9" i="4"/>
  <c r="D17" i="4"/>
  <c r="A11" i="4"/>
  <c r="A14" i="4"/>
  <c r="C54" i="1"/>
  <c r="C2" i="1"/>
  <c r="C63" i="1"/>
  <c r="C36" i="1"/>
  <c r="C51" i="1"/>
  <c r="C47" i="1"/>
  <c r="C35" i="1"/>
  <c r="C23" i="1"/>
  <c r="C11" i="1"/>
  <c r="C46" i="1"/>
  <c r="C34" i="1"/>
  <c r="C22" i="1"/>
  <c r="C10" i="1"/>
  <c r="C33" i="1"/>
  <c r="C21" i="1"/>
  <c r="C9" i="1"/>
  <c r="C58" i="1"/>
  <c r="C20" i="1"/>
  <c r="C8" i="1"/>
  <c r="C45" i="1"/>
  <c r="C55" i="1"/>
  <c r="C7" i="1"/>
  <c r="C32" i="1"/>
  <c r="C31" i="1"/>
  <c r="C57" i="1"/>
  <c r="C44" i="1"/>
  <c r="C19" i="1"/>
  <c r="C56" i="1"/>
  <c r="C43" i="1"/>
  <c r="C39" i="1"/>
  <c r="C27" i="1"/>
  <c r="C15" i="1"/>
  <c r="C3" i="1"/>
  <c r="C62" i="1"/>
  <c r="C50" i="1"/>
  <c r="C38" i="1"/>
  <c r="C26" i="1"/>
  <c r="C65" i="1"/>
  <c r="C61" i="1"/>
  <c r="C49" i="1"/>
  <c r="C37" i="1"/>
  <c r="C25" i="1"/>
  <c r="C52" i="1"/>
  <c r="C42" i="1"/>
  <c r="C53" i="1"/>
  <c r="C64" i="1"/>
  <c r="C29" i="1"/>
  <c r="C17" i="1"/>
  <c r="C13" i="1"/>
  <c r="C6" i="1"/>
  <c r="C28" i="1"/>
  <c r="C14" i="1"/>
  <c r="C40" i="1"/>
  <c r="C18" i="1"/>
  <c r="C4" i="1"/>
  <c r="C30" i="1"/>
  <c r="C16" i="1"/>
  <c r="C41" i="1"/>
  <c r="C5" i="1"/>
  <c r="B33" i="16" l="1"/>
  <c r="B34" i="16" s="1"/>
  <c r="D49" i="16"/>
  <c r="B33" i="18"/>
  <c r="B34" i="18" s="1"/>
  <c r="D49" i="18"/>
  <c r="R33" i="18"/>
  <c r="R34" i="18" s="1"/>
  <c r="P49" i="18"/>
  <c r="B33" i="17"/>
  <c r="B34" i="17" s="1"/>
  <c r="D49" i="17"/>
  <c r="R33" i="17"/>
  <c r="R34" i="17" s="1"/>
  <c r="P49" i="17"/>
  <c r="R33" i="16"/>
  <c r="R34" i="16" s="1"/>
  <c r="P49" i="16"/>
  <c r="N17" i="4"/>
  <c r="N11" i="4"/>
  <c r="K14" i="4"/>
  <c r="N8" i="4"/>
  <c r="K21" i="4"/>
  <c r="I81" i="4"/>
  <c r="F102" i="4"/>
  <c r="I85" i="4"/>
  <c r="I84" i="4"/>
  <c r="I82" i="4"/>
  <c r="A101" i="4"/>
  <c r="A94" i="4"/>
  <c r="D11" i="4"/>
  <c r="I10" i="4"/>
  <c r="A89" i="4"/>
  <c r="D87" i="4"/>
  <c r="D85" i="4"/>
  <c r="A95" i="4"/>
  <c r="D82" i="4"/>
  <c r="A29" i="4"/>
  <c r="D9" i="4"/>
  <c r="D2" i="1"/>
  <c r="E2" i="1" s="1"/>
  <c r="F2" i="1" s="1"/>
  <c r="S14" i="4"/>
  <c r="P31" i="4"/>
  <c r="Q31" i="4" s="1" a="1"/>
  <c r="Q31" i="4" s="1"/>
  <c r="P22" i="4"/>
  <c r="K122" i="4"/>
  <c r="K129" i="4"/>
  <c r="K124" i="4"/>
  <c r="K121" i="4"/>
  <c r="K123" i="4"/>
  <c r="K136" i="4"/>
  <c r="L136" i="4" s="1" a="1"/>
  <c r="L136" i="4" s="1"/>
  <c r="K137" i="4"/>
  <c r="N117" i="4"/>
  <c r="K89" i="4"/>
  <c r="K95" i="4"/>
  <c r="N85" i="4"/>
  <c r="N82" i="4"/>
  <c r="K49" i="4"/>
  <c r="K57" i="4"/>
  <c r="K50" i="4"/>
  <c r="K64" i="4"/>
  <c r="N14" i="4"/>
  <c r="K29" i="4"/>
  <c r="K22" i="4"/>
  <c r="N16" i="4"/>
  <c r="K31" i="4"/>
  <c r="L31" i="4" s="1" a="1"/>
  <c r="L31" i="4" s="1"/>
  <c r="F12" i="4"/>
  <c r="F23" i="4"/>
  <c r="A88" i="4"/>
  <c r="A87" i="4"/>
  <c r="D81" i="4"/>
  <c r="A21" i="4"/>
  <c r="A12" i="4"/>
  <c r="N121" i="4"/>
  <c r="K139" i="4"/>
  <c r="L139" i="4" s="1" a="1"/>
  <c r="L139" i="4" s="1"/>
  <c r="N122" i="4"/>
  <c r="I120" i="4"/>
  <c r="D13" i="1"/>
  <c r="E13" i="1" s="1"/>
  <c r="R33" i="14"/>
  <c r="R34" i="14" s="1"/>
  <c r="D18" i="14"/>
  <c r="A16" i="4"/>
  <c r="A22" i="4"/>
  <c r="A23" i="4"/>
  <c r="A30" i="4"/>
  <c r="D12" i="4"/>
  <c r="D15" i="4"/>
  <c r="D16" i="4"/>
  <c r="D13" i="4"/>
  <c r="A28" i="4"/>
  <c r="A31" i="4"/>
  <c r="B31" i="4" s="1" a="1"/>
  <c r="B31" i="4" s="1"/>
  <c r="D10" i="4"/>
  <c r="D14" i="4"/>
  <c r="D118" i="4"/>
  <c r="A137" i="4"/>
  <c r="A120" i="4"/>
  <c r="A130" i="4"/>
  <c r="A123" i="4"/>
  <c r="A129" i="4"/>
  <c r="D123" i="4"/>
  <c r="A124" i="4"/>
  <c r="A121" i="4"/>
  <c r="A138" i="4"/>
  <c r="A122" i="4"/>
  <c r="A131" i="4"/>
  <c r="D121" i="4"/>
  <c r="D117" i="4"/>
  <c r="A136" i="4"/>
  <c r="S120" i="4"/>
  <c r="P124" i="4"/>
  <c r="S117" i="4"/>
  <c r="P137" i="4"/>
  <c r="P123" i="4"/>
  <c r="AA34" i="4" a="1"/>
  <c r="AA34" i="4" s="1"/>
  <c r="AF34" i="4" s="1" a="1"/>
  <c r="AF34" i="4" s="1"/>
  <c r="AD18" i="4"/>
  <c r="AD34" i="4" s="1" a="1"/>
  <c r="AD34" i="4" s="1"/>
  <c r="AE34" i="4" a="1"/>
  <c r="AE34" i="4" s="1"/>
  <c r="AB18" i="4"/>
  <c r="AB34" i="4" s="1" a="1"/>
  <c r="AB34" i="4" s="1"/>
  <c r="AC34" i="4" a="1"/>
  <c r="AC34" i="4" s="1"/>
  <c r="V18" i="4"/>
  <c r="V34" i="4" s="1" a="1"/>
  <c r="V34" i="4" s="1"/>
  <c r="W34" i="4" a="1"/>
  <c r="W34" i="4" s="1"/>
  <c r="X18" i="4"/>
  <c r="X34" i="4" s="1" a="1"/>
  <c r="X34" i="4" s="1"/>
  <c r="Y34" i="4" a="1"/>
  <c r="Y34" i="4" s="1"/>
  <c r="F21" i="4"/>
  <c r="F14" i="4"/>
  <c r="L102" i="4" a="1"/>
  <c r="L102" i="4" s="1"/>
  <c r="N48" i="4"/>
  <c r="K52" i="4"/>
  <c r="N45" i="4"/>
  <c r="L63" i="4" s="1" a="1"/>
  <c r="L63" i="4" s="1"/>
  <c r="K58" i="4"/>
  <c r="K51" i="4"/>
  <c r="K65" i="4"/>
  <c r="L101" i="4" a="1"/>
  <c r="L101" i="4" s="1"/>
  <c r="S16" i="4"/>
  <c r="S11" i="4"/>
  <c r="Q29" i="4" s="1" a="1"/>
  <c r="Q29" i="4" s="1"/>
  <c r="P24" i="4"/>
  <c r="L100" i="4" a="1"/>
  <c r="L100" i="4" s="1"/>
  <c r="K12" i="4"/>
  <c r="K13" i="4"/>
  <c r="I117" i="4"/>
  <c r="Q28" i="4" a="1"/>
  <c r="Q28" i="4" s="1"/>
  <c r="N9" i="4"/>
  <c r="L30" i="4" s="1" a="1"/>
  <c r="L30" i="4" s="1"/>
  <c r="K16" i="4"/>
  <c r="N12" i="4"/>
  <c r="I16" i="4"/>
  <c r="I17" i="4"/>
  <c r="F31" i="4"/>
  <c r="G31" i="4" s="1" a="1"/>
  <c r="G31" i="4" s="1"/>
  <c r="F24" i="4"/>
  <c r="I14" i="4"/>
  <c r="I11" i="4"/>
  <c r="Q27" i="4" a="1"/>
  <c r="Q27" i="4" s="1"/>
  <c r="I13" i="4"/>
  <c r="F30" i="4"/>
  <c r="I15" i="4"/>
  <c r="L138" i="4" a="1"/>
  <c r="L138" i="4" s="1"/>
  <c r="I12" i="4"/>
  <c r="F29" i="4"/>
  <c r="F15" i="4"/>
  <c r="F22" i="4"/>
  <c r="I9" i="4"/>
  <c r="L99" i="4" a="1"/>
  <c r="L99" i="4" s="1"/>
  <c r="L137" i="4" a="1"/>
  <c r="L137" i="4" s="1"/>
  <c r="N123" i="4"/>
  <c r="L135" i="4" s="1" a="1"/>
  <c r="L135" i="4" s="1"/>
  <c r="K131" i="4"/>
  <c r="L64" i="4" a="1"/>
  <c r="L64" i="4" s="1"/>
  <c r="Q30" i="4" a="1"/>
  <c r="Q30" i="4" s="1"/>
  <c r="F138" i="4"/>
  <c r="I123" i="4"/>
  <c r="I121" i="4"/>
  <c r="F137" i="4"/>
  <c r="F130" i="4"/>
  <c r="F123" i="4"/>
  <c r="F131" i="4"/>
  <c r="F125" i="4"/>
  <c r="A58" i="4"/>
  <c r="A51" i="4"/>
  <c r="A65" i="4"/>
  <c r="D48" i="4"/>
  <c r="A52" i="4"/>
  <c r="D45" i="4"/>
  <c r="D50" i="4"/>
  <c r="D53" i="4"/>
  <c r="D47" i="4"/>
  <c r="A60" i="4"/>
  <c r="D52" i="4"/>
  <c r="A67" i="4"/>
  <c r="A66" i="4"/>
  <c r="D49" i="4"/>
  <c r="A53" i="4"/>
  <c r="A59" i="4"/>
  <c r="D46" i="4"/>
  <c r="D51" i="4"/>
  <c r="D44" i="4"/>
  <c r="A64" i="4"/>
  <c r="A50" i="4"/>
  <c r="A57" i="4"/>
  <c r="A49" i="4"/>
  <c r="A48" i="4"/>
  <c r="P88" i="4"/>
  <c r="P87" i="4"/>
  <c r="S81" i="4"/>
  <c r="P101" i="4"/>
  <c r="S84" i="4"/>
  <c r="F95" i="4"/>
  <c r="F88" i="4"/>
  <c r="F94" i="4"/>
  <c r="F87" i="4"/>
  <c r="I87" i="4"/>
  <c r="S50" i="4"/>
  <c r="P60" i="4"/>
  <c r="S53" i="4"/>
  <c r="S47" i="4"/>
  <c r="S52" i="4"/>
  <c r="P67" i="4"/>
  <c r="Q67" i="4" s="1" a="1"/>
  <c r="Q67" i="4" s="1"/>
  <c r="P66" i="4"/>
  <c r="Q66" i="4" s="1" a="1"/>
  <c r="Q66" i="4" s="1"/>
  <c r="S51" i="4"/>
  <c r="S46" i="4"/>
  <c r="S49" i="4"/>
  <c r="P59" i="4"/>
  <c r="P53" i="4"/>
  <c r="S45" i="4"/>
  <c r="P65" i="4"/>
  <c r="P58" i="4"/>
  <c r="P51" i="4"/>
  <c r="S48" i="4"/>
  <c r="P52" i="4"/>
  <c r="P64" i="4"/>
  <c r="Q64" i="4" s="1" a="1"/>
  <c r="Q64" i="4" s="1"/>
  <c r="S44" i="4"/>
  <c r="Q63" i="4" s="1" a="1"/>
  <c r="Q63" i="4" s="1"/>
  <c r="P50" i="4"/>
  <c r="P57" i="4"/>
  <c r="P49" i="4"/>
  <c r="P48" i="4"/>
  <c r="I50" i="4"/>
  <c r="F60" i="4"/>
  <c r="I47" i="4"/>
  <c r="I53" i="4"/>
  <c r="I52" i="4"/>
  <c r="F67" i="4"/>
  <c r="G67" i="4" s="1" a="1"/>
  <c r="G67" i="4" s="1"/>
  <c r="F66" i="4"/>
  <c r="I51" i="4"/>
  <c r="I49" i="4"/>
  <c r="F53" i="4"/>
  <c r="F59" i="4"/>
  <c r="I46" i="4"/>
  <c r="I45" i="4"/>
  <c r="F58" i="4"/>
  <c r="F51" i="4"/>
  <c r="F65" i="4"/>
  <c r="I48" i="4"/>
  <c r="F52" i="4"/>
  <c r="F64" i="4"/>
  <c r="I44" i="4"/>
  <c r="F50" i="4"/>
  <c r="F57" i="4"/>
  <c r="F49" i="4"/>
  <c r="F48" i="4"/>
  <c r="P117" i="4"/>
  <c r="P135" i="4"/>
  <c r="P118" i="4"/>
  <c r="P128" i="4"/>
  <c r="P119" i="4"/>
  <c r="P116" i="4"/>
  <c r="S123" i="4"/>
  <c r="P138" i="4"/>
  <c r="Q138" i="4" s="1" a="1"/>
  <c r="Q138" i="4" s="1"/>
  <c r="S121" i="4"/>
  <c r="S118" i="4"/>
  <c r="P131" i="4"/>
  <c r="P125" i="4"/>
  <c r="A118" i="4"/>
  <c r="A119" i="4"/>
  <c r="A116" i="4"/>
  <c r="A135" i="4"/>
  <c r="A128" i="4"/>
  <c r="A117" i="4"/>
  <c r="F119" i="4"/>
  <c r="F116" i="4"/>
  <c r="F128" i="4"/>
  <c r="F117" i="4"/>
  <c r="F135" i="4"/>
  <c r="F118" i="4"/>
  <c r="D125" i="4"/>
  <c r="D122" i="4"/>
  <c r="D119" i="4"/>
  <c r="A132" i="4"/>
  <c r="A139" i="4"/>
  <c r="B139" i="4" s="1" a="1"/>
  <c r="B139" i="4" s="1"/>
  <c r="D124" i="4"/>
  <c r="P120" i="4"/>
  <c r="P136" i="4"/>
  <c r="P129" i="4"/>
  <c r="P121" i="4"/>
  <c r="S116" i="4"/>
  <c r="P122" i="4"/>
  <c r="I125" i="4"/>
  <c r="I122" i="4"/>
  <c r="I119" i="4"/>
  <c r="F132" i="4"/>
  <c r="F139" i="4"/>
  <c r="G139" i="4" s="1" a="1"/>
  <c r="G139" i="4" s="1"/>
  <c r="I124" i="4"/>
  <c r="P139" i="4"/>
  <c r="Q139" i="4" s="1" a="1"/>
  <c r="Q139" i="4" s="1"/>
  <c r="P132" i="4"/>
  <c r="S124" i="4"/>
  <c r="S125" i="4"/>
  <c r="S122" i="4"/>
  <c r="S119" i="4"/>
  <c r="I116" i="4"/>
  <c r="F122" i="4"/>
  <c r="F120" i="4"/>
  <c r="F136" i="4"/>
  <c r="F121" i="4"/>
  <c r="F129" i="4"/>
  <c r="S87" i="4"/>
  <c r="P102" i="4"/>
  <c r="Q102" i="4" s="1" a="1"/>
  <c r="Q102" i="4" s="1"/>
  <c r="S85" i="4"/>
  <c r="S82" i="4"/>
  <c r="P95" i="4"/>
  <c r="P89" i="4"/>
  <c r="F83" i="4"/>
  <c r="F80" i="4"/>
  <c r="F92" i="4"/>
  <c r="F81" i="4"/>
  <c r="F99" i="4"/>
  <c r="F82" i="4"/>
  <c r="P81" i="4"/>
  <c r="P99" i="4"/>
  <c r="P82" i="4"/>
  <c r="P92" i="4"/>
  <c r="P83" i="4"/>
  <c r="P80" i="4"/>
  <c r="I80" i="4"/>
  <c r="F86" i="4"/>
  <c r="F93" i="4"/>
  <c r="F84" i="4"/>
  <c r="F100" i="4"/>
  <c r="F85" i="4"/>
  <c r="P84" i="4"/>
  <c r="P100" i="4"/>
  <c r="P93" i="4"/>
  <c r="P85" i="4"/>
  <c r="S80" i="4"/>
  <c r="P86" i="4"/>
  <c r="P103" i="4"/>
  <c r="Q103" i="4" s="1" a="1"/>
  <c r="Q103" i="4" s="1"/>
  <c r="P96" i="4"/>
  <c r="S88" i="4"/>
  <c r="S89" i="4"/>
  <c r="S86" i="4"/>
  <c r="S83" i="4"/>
  <c r="D89" i="4"/>
  <c r="D86" i="4"/>
  <c r="D83" i="4"/>
  <c r="A96" i="4"/>
  <c r="A103" i="4"/>
  <c r="B103" i="4" s="1" a="1"/>
  <c r="B103" i="4" s="1"/>
  <c r="D88" i="4"/>
  <c r="A85" i="4"/>
  <c r="D80" i="4"/>
  <c r="A93" i="4"/>
  <c r="A86" i="4"/>
  <c r="A100" i="4"/>
  <c r="A84" i="4"/>
  <c r="I89" i="4"/>
  <c r="I86" i="4"/>
  <c r="I83" i="4"/>
  <c r="F103" i="4"/>
  <c r="G103" i="4" s="1" a="1"/>
  <c r="G103" i="4" s="1"/>
  <c r="I88" i="4"/>
  <c r="F96" i="4"/>
  <c r="A83" i="4"/>
  <c r="A80" i="4"/>
  <c r="A92" i="4"/>
  <c r="A81" i="4"/>
  <c r="A99" i="4"/>
  <c r="A82" i="4"/>
  <c r="D59" i="1"/>
  <c r="E59" i="1" s="1"/>
  <c r="D51" i="1"/>
  <c r="E51" i="1" s="1"/>
  <c r="D25" i="1"/>
  <c r="E25" i="1" s="1"/>
  <c r="D61" i="1"/>
  <c r="E61" i="1" s="1"/>
  <c r="D62" i="1"/>
  <c r="E62" i="1" s="1"/>
  <c r="D31" i="1"/>
  <c r="E31" i="1" s="1"/>
  <c r="D29" i="1"/>
  <c r="E29" i="1" s="1"/>
  <c r="D3" i="1"/>
  <c r="E3" i="1" s="1"/>
  <c r="F3" i="1" s="1"/>
  <c r="D5" i="1"/>
  <c r="E5" i="1" s="1"/>
  <c r="D17" i="1"/>
  <c r="E17" i="1" s="1"/>
  <c r="D23" i="1"/>
  <c r="E23" i="1" s="1"/>
  <c r="D27" i="1"/>
  <c r="E27" i="1" s="1"/>
  <c r="D4" i="1"/>
  <c r="E4" i="1" s="1"/>
  <c r="D55" i="1"/>
  <c r="E55" i="1" s="1"/>
  <c r="D28" i="1"/>
  <c r="E28" i="1" s="1"/>
  <c r="D65" i="1"/>
  <c r="E65" i="1" s="1"/>
  <c r="D45" i="1"/>
  <c r="E45" i="1" s="1"/>
  <c r="D33" i="1"/>
  <c r="E33" i="1" s="1"/>
  <c r="D40" i="1"/>
  <c r="E40" i="1" s="1"/>
  <c r="D14" i="1"/>
  <c r="E14" i="1" s="1"/>
  <c r="D16" i="1"/>
  <c r="E16" i="1" s="1"/>
  <c r="D57" i="1"/>
  <c r="E57" i="1" s="1"/>
  <c r="D11" i="1"/>
  <c r="E11" i="1" s="1"/>
  <c r="D41" i="1"/>
  <c r="E41" i="1" s="1"/>
  <c r="D15" i="1"/>
  <c r="E15" i="1" s="1"/>
  <c r="D22" i="1"/>
  <c r="E22" i="1" s="1"/>
  <c r="D53" i="1"/>
  <c r="E53" i="1" s="1"/>
  <c r="D48" i="1"/>
  <c r="E48" i="1" s="1"/>
  <c r="D18" i="1"/>
  <c r="E18" i="1" s="1"/>
  <c r="D60" i="1"/>
  <c r="E60" i="1" s="1"/>
  <c r="D34" i="1"/>
  <c r="E34" i="1" s="1"/>
  <c r="D35" i="1"/>
  <c r="E35" i="1" s="1"/>
  <c r="D52" i="1"/>
  <c r="E52" i="1" s="1"/>
  <c r="D26" i="1"/>
  <c r="E26" i="1" s="1"/>
  <c r="D46" i="1"/>
  <c r="E46" i="1" s="1"/>
  <c r="D6" i="1"/>
  <c r="E6" i="1" s="1"/>
  <c r="D9" i="1"/>
  <c r="E9" i="1" s="1"/>
  <c r="D64" i="1"/>
  <c r="E64" i="1" s="1"/>
  <c r="D19" i="1"/>
  <c r="E19" i="1" s="1"/>
  <c r="D7" i="1"/>
  <c r="E7" i="1" s="1"/>
  <c r="D10" i="1"/>
  <c r="E10" i="1" s="1"/>
  <c r="D47" i="1"/>
  <c r="E47" i="1" s="1"/>
  <c r="D58" i="1"/>
  <c r="E58" i="1" s="1"/>
  <c r="D21" i="1"/>
  <c r="E21" i="1" s="1"/>
  <c r="D39" i="1"/>
  <c r="E39" i="1" s="1"/>
  <c r="D43" i="1"/>
  <c r="E43" i="1" s="1"/>
  <c r="D30" i="1"/>
  <c r="E30" i="1" s="1"/>
  <c r="D32" i="1"/>
  <c r="E32" i="1" s="1"/>
  <c r="D42" i="1"/>
  <c r="E42" i="1" s="1"/>
  <c r="D44" i="1"/>
  <c r="E44" i="1" s="1"/>
  <c r="D36" i="1"/>
  <c r="E36" i="1" s="1"/>
  <c r="D8" i="1"/>
  <c r="E8" i="1" s="1"/>
  <c r="D63" i="1"/>
  <c r="E63" i="1" s="1"/>
  <c r="D37" i="1"/>
  <c r="E37" i="1" s="1"/>
  <c r="D38" i="1"/>
  <c r="E38" i="1" s="1"/>
  <c r="D12" i="1"/>
  <c r="E12" i="1" s="1"/>
  <c r="D49" i="1"/>
  <c r="E49" i="1" s="1"/>
  <c r="D50" i="1"/>
  <c r="E50" i="1" s="1"/>
  <c r="D24" i="1"/>
  <c r="E24" i="1" s="1"/>
  <c r="D20" i="1"/>
  <c r="E20" i="1" s="1"/>
  <c r="D54" i="1"/>
  <c r="E54" i="1" s="1"/>
  <c r="D56" i="1"/>
  <c r="E56" i="1" s="1"/>
  <c r="L28" i="4" l="1" a="1"/>
  <c r="L28" i="4" s="1"/>
  <c r="G102" i="4" a="1"/>
  <c r="G102" i="4" s="1"/>
  <c r="G100" i="4" a="1"/>
  <c r="G100" i="4" s="1"/>
  <c r="G66" i="4" a="1"/>
  <c r="G66" i="4" s="1"/>
  <c r="G64" i="4" a="1"/>
  <c r="G64" i="4" s="1"/>
  <c r="B28" i="4" a="1"/>
  <c r="B28" i="4" s="1"/>
  <c r="G63" i="4" a="1"/>
  <c r="G63" i="4" s="1"/>
  <c r="G28" i="4" a="1"/>
  <c r="G28" i="4" s="1"/>
  <c r="B101" i="4" a="1"/>
  <c r="B101" i="4" s="1"/>
  <c r="B63" i="4" a="1"/>
  <c r="B63" i="4" s="1"/>
  <c r="B29" i="4" a="1"/>
  <c r="B29" i="4" s="1"/>
  <c r="B27" i="4" a="1"/>
  <c r="B27" i="4" s="1"/>
  <c r="G136" i="4" a="1"/>
  <c r="G136" i="4" s="1"/>
  <c r="B30" i="4" a="1"/>
  <c r="B30" i="4" s="1"/>
  <c r="B138" i="4" a="1"/>
  <c r="B138" i="4" s="1"/>
  <c r="Q137" i="4" a="1"/>
  <c r="Q137" i="4" s="1"/>
  <c r="K104" i="4" a="1"/>
  <c r="K104" i="4" s="1"/>
  <c r="P32" i="4" a="1"/>
  <c r="P32" i="4" s="1"/>
  <c r="K140" i="4" a="1"/>
  <c r="K140" i="4" s="1"/>
  <c r="AF50" i="4" a="1"/>
  <c r="AF50" i="4" s="1"/>
  <c r="AF18" i="4" a="1"/>
  <c r="AF18" i="4" s="1"/>
  <c r="AF66" i="4" a="1"/>
  <c r="AF66" i="4" s="1"/>
  <c r="AF2" i="4" a="1"/>
  <c r="AF2" i="4" s="1"/>
  <c r="Q100" i="4" a="1"/>
  <c r="Q100" i="4" s="1"/>
  <c r="Q99" i="4" a="1"/>
  <c r="Q99" i="4" s="1"/>
  <c r="Q136" i="4" a="1"/>
  <c r="Q136" i="4" s="1"/>
  <c r="L29" i="4" a="1"/>
  <c r="L29" i="4" s="1"/>
  <c r="Q101" i="4" a="1"/>
  <c r="Q101" i="4" s="1"/>
  <c r="B65" i="4" a="1"/>
  <c r="B65" i="4" s="1"/>
  <c r="B135" i="4" a="1"/>
  <c r="B135" i="4" s="1"/>
  <c r="G65" i="4" a="1"/>
  <c r="G65" i="4" s="1"/>
  <c r="G29" i="4" a="1"/>
  <c r="G29" i="4" s="1"/>
  <c r="B136" i="4" a="1"/>
  <c r="B136" i="4" s="1"/>
  <c r="B99" i="4" a="1"/>
  <c r="B99" i="4" s="1"/>
  <c r="B66" i="4" a="1"/>
  <c r="B66" i="4" s="1"/>
  <c r="G101" i="4" a="1"/>
  <c r="G101" i="4" s="1"/>
  <c r="G27" i="4" a="1"/>
  <c r="G27" i="4" s="1"/>
  <c r="B102" i="4" a="1"/>
  <c r="B102" i="4" s="1"/>
  <c r="B67" i="4" a="1"/>
  <c r="B67" i="4" s="1"/>
  <c r="L66" i="4" a="1"/>
  <c r="L66" i="4" s="1"/>
  <c r="G99" i="4" a="1"/>
  <c r="G99" i="4" s="1"/>
  <c r="L65" i="4" a="1"/>
  <c r="L65" i="4" s="1"/>
  <c r="Q135" i="4" a="1"/>
  <c r="Q135" i="4" s="1"/>
  <c r="L27" i="4" a="1"/>
  <c r="L27" i="4" s="1"/>
  <c r="Q65" i="4" a="1"/>
  <c r="Q65" i="4" s="1"/>
  <c r="P68" i="4" s="1" a="1"/>
  <c r="B100" i="4" a="1"/>
  <c r="B100" i="4" s="1"/>
  <c r="G30" i="4" a="1"/>
  <c r="G30" i="4" s="1"/>
  <c r="B137" i="4" a="1"/>
  <c r="B137" i="4" s="1"/>
  <c r="B64" i="4" a="1"/>
  <c r="B64" i="4" s="1"/>
  <c r="G138" i="4" a="1"/>
  <c r="G138" i="4" s="1"/>
  <c r="G137" i="4" a="1"/>
  <c r="G137" i="4" s="1"/>
  <c r="G135" i="4" a="1"/>
  <c r="G135" i="4" s="1"/>
  <c r="F5" i="1"/>
  <c r="F11" i="1"/>
  <c r="F17" i="1"/>
  <c r="F50" i="1"/>
  <c r="F12" i="1"/>
  <c r="F26" i="1"/>
  <c r="F8" i="1"/>
  <c r="F43" i="1"/>
  <c r="F57" i="1"/>
  <c r="F7" i="1"/>
  <c r="F24" i="1"/>
  <c r="F30" i="1"/>
  <c r="F46" i="1"/>
  <c r="F23" i="1"/>
  <c r="F39" i="1"/>
  <c r="F52" i="1"/>
  <c r="F16" i="1"/>
  <c r="F49" i="1"/>
  <c r="F21" i="1"/>
  <c r="F35" i="1"/>
  <c r="F14" i="1"/>
  <c r="F38" i="1"/>
  <c r="F58" i="1"/>
  <c r="F34" i="1"/>
  <c r="F40" i="1"/>
  <c r="F29" i="1"/>
  <c r="F37" i="1"/>
  <c r="F47" i="1"/>
  <c r="F60" i="1"/>
  <c r="F33" i="1"/>
  <c r="F31" i="1"/>
  <c r="F63" i="1"/>
  <c r="F10" i="1"/>
  <c r="F18" i="1"/>
  <c r="F45" i="1"/>
  <c r="F62" i="1"/>
  <c r="F48" i="1"/>
  <c r="F65" i="1"/>
  <c r="F61" i="1"/>
  <c r="F36" i="1"/>
  <c r="F19" i="1"/>
  <c r="F53" i="1"/>
  <c r="F28" i="1"/>
  <c r="F25" i="1"/>
  <c r="F56" i="1"/>
  <c r="F44" i="1"/>
  <c r="F64" i="1"/>
  <c r="F22" i="1"/>
  <c r="F55" i="1"/>
  <c r="F51" i="1"/>
  <c r="F54" i="1"/>
  <c r="F42" i="1"/>
  <c r="F9" i="1"/>
  <c r="F15" i="1"/>
  <c r="F4" i="1"/>
  <c r="F59" i="1"/>
  <c r="F20" i="1"/>
  <c r="F32" i="1"/>
  <c r="F6" i="1"/>
  <c r="F41" i="1"/>
  <c r="F27" i="1"/>
  <c r="F13" i="1"/>
  <c r="F68" i="4" l="1" a="1"/>
  <c r="I72" i="4" s="1"/>
  <c r="A32" i="4" a="1"/>
  <c r="A32" i="4" s="1"/>
  <c r="N107" i="4"/>
  <c r="N108" i="4"/>
  <c r="N104" i="4"/>
  <c r="N105" i="4"/>
  <c r="N106" i="4"/>
  <c r="K68" i="4" a="1"/>
  <c r="N70" i="4" s="1"/>
  <c r="F104" i="4" a="1"/>
  <c r="F104" i="4" s="1"/>
  <c r="A68" i="4" a="1"/>
  <c r="A68" i="4" s="1"/>
  <c r="P140" i="4" a="1"/>
  <c r="S142" i="4" s="1"/>
  <c r="S36" i="4"/>
  <c r="S32" i="4"/>
  <c r="S34" i="4"/>
  <c r="S33" i="4"/>
  <c r="S35" i="4"/>
  <c r="N140" i="4"/>
  <c r="N141" i="4"/>
  <c r="N142" i="4"/>
  <c r="N143" i="4"/>
  <c r="N144" i="4"/>
  <c r="AH2" i="4" a="1"/>
  <c r="AH2" i="4" s="1"/>
  <c r="AJ2" i="4" s="1" a="1"/>
  <c r="AJ2" i="4" s="1"/>
  <c r="B5" i="8" s="1"/>
  <c r="K32" i="4" a="1"/>
  <c r="N33" i="4" s="1"/>
  <c r="F32" i="4" a="1"/>
  <c r="P68" i="4"/>
  <c r="S69" i="4"/>
  <c r="S70" i="4"/>
  <c r="S71" i="4"/>
  <c r="S72" i="4"/>
  <c r="S68" i="4"/>
  <c r="A140" i="4" a="1"/>
  <c r="P104" i="4" a="1"/>
  <c r="A104" i="4" a="1"/>
  <c r="F140" i="4" a="1"/>
  <c r="F140" i="4" s="1"/>
  <c r="G4" i="1"/>
  <c r="G2" i="1"/>
  <c r="G17" i="1"/>
  <c r="G12" i="1"/>
  <c r="G19" i="1"/>
  <c r="G16" i="1"/>
  <c r="G6" i="1"/>
  <c r="G10" i="1"/>
  <c r="G13" i="1"/>
  <c r="G14" i="1"/>
  <c r="G5" i="1"/>
  <c r="G8" i="1"/>
  <c r="G3" i="1"/>
  <c r="G44" i="1"/>
  <c r="G47" i="1"/>
  <c r="G31" i="1"/>
  <c r="G18" i="1"/>
  <c r="G33" i="1"/>
  <c r="G36" i="1"/>
  <c r="G48" i="1"/>
  <c r="G32" i="1"/>
  <c r="G63" i="1"/>
  <c r="G21" i="1"/>
  <c r="G51" i="1"/>
  <c r="G38" i="1"/>
  <c r="G22" i="1"/>
  <c r="G11" i="1"/>
  <c r="G61" i="1"/>
  <c r="G45" i="1"/>
  <c r="G55" i="1"/>
  <c r="G34" i="1"/>
  <c r="G49" i="1"/>
  <c r="G54" i="1"/>
  <c r="G58" i="1"/>
  <c r="G37" i="1"/>
  <c r="G64" i="1"/>
  <c r="G25" i="1"/>
  <c r="G24" i="1"/>
  <c r="G62" i="1"/>
  <c r="G42" i="1"/>
  <c r="G50" i="1"/>
  <c r="G39" i="1"/>
  <c r="G65" i="1"/>
  <c r="G29" i="1"/>
  <c r="G40" i="1"/>
  <c r="G43" i="1"/>
  <c r="G56" i="1"/>
  <c r="G30" i="1"/>
  <c r="G41" i="1"/>
  <c r="G59" i="1"/>
  <c r="G23" i="1"/>
  <c r="G9" i="1"/>
  <c r="G28" i="1"/>
  <c r="G15" i="1"/>
  <c r="G57" i="1"/>
  <c r="G53" i="1"/>
  <c r="G20" i="1"/>
  <c r="G52" i="1"/>
  <c r="G27" i="1"/>
  <c r="G26" i="1"/>
  <c r="G46" i="1"/>
  <c r="G60" i="1"/>
  <c r="G35" i="1"/>
  <c r="G7" i="1"/>
  <c r="I69" i="4" l="1"/>
  <c r="I68" i="4"/>
  <c r="F68" i="4"/>
  <c r="I71" i="4"/>
  <c r="I70" i="4"/>
  <c r="D32" i="4"/>
  <c r="D35" i="4"/>
  <c r="D33" i="4"/>
  <c r="D34" i="4"/>
  <c r="D36" i="4"/>
  <c r="N71" i="4"/>
  <c r="K68" i="4"/>
  <c r="N69" i="4"/>
  <c r="N68" i="4"/>
  <c r="N72" i="4"/>
  <c r="I106" i="4"/>
  <c r="I105" i="4"/>
  <c r="I107" i="4"/>
  <c r="I104" i="4"/>
  <c r="I108" i="4"/>
  <c r="D68" i="4"/>
  <c r="D70" i="4"/>
  <c r="D72" i="4"/>
  <c r="D69" i="4"/>
  <c r="D71" i="4"/>
  <c r="S144" i="4"/>
  <c r="P140" i="4"/>
  <c r="S140" i="4"/>
  <c r="S141" i="4"/>
  <c r="S143" i="4"/>
  <c r="K32" i="4"/>
  <c r="N34" i="4"/>
  <c r="N36" i="4"/>
  <c r="N32" i="4"/>
  <c r="N35" i="4"/>
  <c r="F32" i="4"/>
  <c r="I32" i="4"/>
  <c r="I33" i="4"/>
  <c r="I36" i="4"/>
  <c r="I34" i="4"/>
  <c r="I35" i="4"/>
  <c r="A104" i="4"/>
  <c r="D107" i="4"/>
  <c r="D108" i="4"/>
  <c r="D104" i="4"/>
  <c r="D105" i="4"/>
  <c r="D106" i="4"/>
  <c r="P104" i="4"/>
  <c r="S105" i="4"/>
  <c r="S106" i="4"/>
  <c r="S107" i="4"/>
  <c r="S108" i="4"/>
  <c r="S104" i="4"/>
  <c r="A140" i="4"/>
  <c r="D140" i="4"/>
  <c r="D141" i="4"/>
  <c r="D142" i="4"/>
  <c r="D143" i="4"/>
  <c r="D144" i="4"/>
  <c r="I143" i="4"/>
  <c r="I141" i="4"/>
  <c r="I142" i="4"/>
  <c r="I144" i="4"/>
  <c r="I140" i="4"/>
  <c r="F38" i="5" l="1" a="1"/>
  <c r="F38" i="5" s="1"/>
  <c r="F62" i="5" a="1"/>
  <c r="F62" i="5" s="1"/>
  <c r="F36" i="5" a="1"/>
  <c r="F36" i="5" s="1"/>
  <c r="F40" i="5" a="1"/>
  <c r="F40" i="5" s="1"/>
  <c r="F17" i="5" a="1"/>
  <c r="F17" i="5" s="1"/>
  <c r="F6" i="5" a="1"/>
  <c r="F6" i="5" s="1"/>
  <c r="F37" i="5" a="1"/>
  <c r="F37" i="5" s="1"/>
  <c r="F10" i="5" a="1"/>
  <c r="F10" i="5" s="1"/>
  <c r="F24" i="5" a="1"/>
  <c r="F24" i="5" s="1"/>
  <c r="F51" i="5" a="1"/>
  <c r="F51" i="5" s="1"/>
  <c r="F9" i="5" a="1"/>
  <c r="F9" i="5" s="1"/>
  <c r="F47" i="5" a="1"/>
  <c r="F47" i="5" s="1"/>
  <c r="F41" i="5" a="1"/>
  <c r="F41" i="5" s="1"/>
  <c r="F20" i="5" a="1"/>
  <c r="F20" i="5" s="1"/>
  <c r="F28" i="5" a="1"/>
  <c r="F28" i="5" s="1"/>
  <c r="F65" i="5" a="1"/>
  <c r="F65" i="5" s="1"/>
  <c r="F31" i="5" a="1"/>
  <c r="F31" i="5" s="1"/>
  <c r="F54" i="5" a="1"/>
  <c r="F54" i="5" s="1"/>
  <c r="F52" i="5" a="1"/>
  <c r="F52" i="5" s="1"/>
  <c r="F22" i="5" a="1"/>
  <c r="F22" i="5" s="1"/>
  <c r="F43" i="5" a="1"/>
  <c r="F43" i="5" s="1"/>
  <c r="F3" i="5" a="1"/>
  <c r="F3" i="5" s="1"/>
  <c r="F33" i="5" a="1"/>
  <c r="F33" i="5" s="1"/>
  <c r="F56" i="5" a="1"/>
  <c r="F56" i="5" s="1"/>
  <c r="F2" i="5" a="1"/>
  <c r="F2" i="5" s="1"/>
  <c r="F60" i="5" a="1"/>
  <c r="F60" i="5" s="1"/>
  <c r="F44" i="5" a="1"/>
  <c r="F44" i="5" s="1"/>
  <c r="F5" i="5" a="1"/>
  <c r="F5" i="5" s="1"/>
  <c r="F35" i="5" a="1"/>
  <c r="F35" i="5" s="1"/>
  <c r="F4" i="5" a="1"/>
  <c r="F4" i="5" s="1"/>
  <c r="F8" i="5" a="1"/>
  <c r="F8" i="5" s="1"/>
  <c r="F46" i="5" a="1"/>
  <c r="F46" i="5" s="1"/>
  <c r="F48" i="5" a="1"/>
  <c r="F48" i="5" s="1"/>
  <c r="F15" i="5" a="1"/>
  <c r="F15" i="5" s="1"/>
  <c r="F39" i="5" a="1"/>
  <c r="F39" i="5" s="1"/>
  <c r="F19" i="5" a="1"/>
  <c r="F19" i="5" s="1"/>
  <c r="F16" i="5" a="1"/>
  <c r="F16" i="5" s="1"/>
  <c r="F61" i="5" a="1"/>
  <c r="F61" i="5" s="1"/>
  <c r="F27" i="5" a="1"/>
  <c r="F27" i="5" s="1"/>
  <c r="F50" i="5" a="1"/>
  <c r="F50" i="5" s="1"/>
  <c r="F32" i="5" a="1"/>
  <c r="F32" i="5" s="1"/>
  <c r="F26" i="5" a="1"/>
  <c r="F26" i="5" s="1"/>
  <c r="F63" i="5" a="1"/>
  <c r="F63" i="5" s="1"/>
  <c r="F29" i="5" a="1"/>
  <c r="F29" i="5" s="1"/>
  <c r="F64" i="5" a="1"/>
  <c r="F64" i="5" s="1"/>
  <c r="F34" i="5" a="1"/>
  <c r="F34" i="5" s="1"/>
  <c r="F42" i="5" a="1"/>
  <c r="F42" i="5" s="1"/>
  <c r="F11" i="5" a="1"/>
  <c r="F11" i="5" s="1"/>
  <c r="F58" i="5" a="1"/>
  <c r="F58" i="5" s="1"/>
  <c r="F12" i="5" a="1"/>
  <c r="F12" i="5" s="1"/>
  <c r="F7" i="5" a="1"/>
  <c r="F7" i="5" s="1"/>
  <c r="F53" i="5" a="1"/>
  <c r="F53" i="5" s="1"/>
  <c r="F21" i="5" a="1"/>
  <c r="F21" i="5" s="1"/>
  <c r="F45" i="5" a="1"/>
  <c r="F45" i="5" s="1"/>
  <c r="F13" i="5" a="1"/>
  <c r="F13" i="5" s="1"/>
  <c r="F18" i="5" a="1"/>
  <c r="F18" i="5" s="1"/>
  <c r="F55" i="5" a="1"/>
  <c r="F55" i="5" s="1"/>
  <c r="F23" i="5" a="1"/>
  <c r="F23" i="5" s="1"/>
  <c r="F14" i="5" a="1"/>
  <c r="F14" i="5" s="1"/>
  <c r="F49" i="5" a="1"/>
  <c r="F49" i="5" s="1"/>
  <c r="F30" i="5" a="1"/>
  <c r="F30" i="5" s="1"/>
  <c r="F57" i="5" a="1"/>
  <c r="F57" i="5" s="1"/>
  <c r="F59" i="5" a="1"/>
  <c r="F59" i="5" s="1"/>
  <c r="F25" i="5" a="1"/>
  <c r="F25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<sst xmlns="http://schemas.openxmlformats.org/spreadsheetml/2006/main" count="964" uniqueCount="224">
  <si>
    <t>Pool 1</t>
  </si>
  <si>
    <t>Pool 2</t>
  </si>
  <si>
    <t>Pool 3</t>
  </si>
  <si>
    <t>Pool 4</t>
  </si>
  <si>
    <t>Pool 5</t>
  </si>
  <si>
    <t>Pool 6</t>
  </si>
  <si>
    <t>Pool 7</t>
  </si>
  <si>
    <t>Pool 8</t>
  </si>
  <si>
    <t>Pool 9</t>
  </si>
  <si>
    <t>#</t>
  </si>
  <si>
    <t>Team Name</t>
  </si>
  <si>
    <t>Short</t>
  </si>
  <si>
    <t>list of teams</t>
  </si>
  <si>
    <t>alph. Counting</t>
  </si>
  <si>
    <t>alph. Order</t>
  </si>
  <si>
    <t>List of Pools</t>
  </si>
  <si>
    <t>hidden</t>
  </si>
  <si>
    <t>wins</t>
  </si>
  <si>
    <t>w%</t>
  </si>
  <si>
    <t>g won</t>
  </si>
  <si>
    <t>g played</t>
  </si>
  <si>
    <t>How many pools</t>
  </si>
  <si>
    <t>1st place</t>
  </si>
  <si>
    <t>2nd Place</t>
  </si>
  <si>
    <t>3rd Place</t>
  </si>
  <si>
    <t>4th Place</t>
  </si>
  <si>
    <t>5th Place</t>
  </si>
  <si>
    <t>list</t>
  </si>
  <si>
    <t>Ordered</t>
  </si>
  <si>
    <t>FINAL</t>
  </si>
  <si>
    <t>number of teams</t>
  </si>
  <si>
    <t>how many brackets</t>
  </si>
  <si>
    <t>Time Location</t>
  </si>
  <si>
    <t xml:space="preserve">Finals </t>
  </si>
  <si>
    <t>Semi Final, 1</t>
  </si>
  <si>
    <t>Semi Final, 2</t>
  </si>
  <si>
    <t>Quarter Finals, 1</t>
  </si>
  <si>
    <t>Quarter Finals, 2</t>
  </si>
  <si>
    <t>Quarter Finals, 3</t>
  </si>
  <si>
    <t>Quarter Finals, 4</t>
  </si>
  <si>
    <t>1st Round, 1</t>
  </si>
  <si>
    <t>1st Round, 2</t>
  </si>
  <si>
    <t>1st Round, 3</t>
  </si>
  <si>
    <t>1st Round, 4</t>
  </si>
  <si>
    <t>1st Round, 5</t>
  </si>
  <si>
    <t>1st Round, 6</t>
  </si>
  <si>
    <t>1st Round, 7</t>
  </si>
  <si>
    <t>1st Round, 8</t>
  </si>
  <si>
    <t>3/4th Place</t>
  </si>
  <si>
    <t>Playback QF, 1</t>
  </si>
  <si>
    <t>Playback QF, 4</t>
  </si>
  <si>
    <t>Playback QF, 3</t>
  </si>
  <si>
    <t>Playback QF, 2</t>
  </si>
  <si>
    <t>Playback SF, 1</t>
  </si>
  <si>
    <t>Playback SF, 2</t>
  </si>
  <si>
    <t>Playback Final</t>
  </si>
  <si>
    <t>0-64</t>
  </si>
  <si>
    <t>how many in bracket 1 (gold)</t>
  </si>
  <si>
    <t>how many in bracket 2 (silver)</t>
  </si>
  <si>
    <t>how many in bracket 3 (bronze)</t>
  </si>
  <si>
    <t>how many in bracket 4 (copper)</t>
  </si>
  <si>
    <t>= teams / number of brackets</t>
  </si>
  <si>
    <t>avoid same pools in bracket?</t>
  </si>
  <si>
    <t>1-true, 0-false, default = 1</t>
  </si>
  <si>
    <t>avoid same section in bracket?</t>
  </si>
  <si>
    <t>1-true, 0-false, default = 0</t>
  </si>
  <si>
    <t xml:space="preserve">make a way to create brackets before the scores </t>
  </si>
  <si>
    <t>this way they can fill out the times and locations for the brackets</t>
  </si>
  <si>
    <t>from there the code will populate the seeind for each brackets</t>
  </si>
  <si>
    <t>if duplicate</t>
  </si>
  <si>
    <t>if lower seed is even</t>
  </si>
  <si>
    <t>elseif lower seed is odd</t>
  </si>
  <si>
    <t>swap with one lower</t>
  </si>
  <si>
    <t>swap with one higher</t>
  </si>
  <si>
    <t>for checking same pools</t>
  </si>
  <si>
    <t>GOLD</t>
  </si>
  <si>
    <t>SILVER</t>
  </si>
  <si>
    <t>BRONZE</t>
  </si>
  <si>
    <t>COPPER</t>
  </si>
  <si>
    <t>Final</t>
  </si>
  <si>
    <t>Semi Finals, 1</t>
  </si>
  <si>
    <t>Semi Finals, 2</t>
  </si>
  <si>
    <t xml:space="preserve">Playback F, </t>
  </si>
  <si>
    <t>Quarter Final, 1</t>
  </si>
  <si>
    <t>Quarter Final, 2</t>
  </si>
  <si>
    <t>Quarter Final, 3</t>
  </si>
  <si>
    <t>Semi Final, 4</t>
  </si>
  <si>
    <t>2nd Round, 1</t>
  </si>
  <si>
    <t>2nd Round, 2</t>
  </si>
  <si>
    <t>2nd Round, 3</t>
  </si>
  <si>
    <t>2nd Round, 4</t>
  </si>
  <si>
    <t>2nd Round, 5</t>
  </si>
  <si>
    <t>2nd Round, 6</t>
  </si>
  <si>
    <t>2nd Round, 7</t>
  </si>
  <si>
    <t>2nd Round, 8</t>
  </si>
  <si>
    <t>1st Round, 9</t>
  </si>
  <si>
    <t>1st Round, 10</t>
  </si>
  <si>
    <t>1st Round, 11</t>
  </si>
  <si>
    <t>1st Round, 12</t>
  </si>
  <si>
    <t>1st Round, 13</t>
  </si>
  <si>
    <t>1st Round, 14</t>
  </si>
  <si>
    <t>1st Round, 15</t>
  </si>
  <si>
    <t>1st Round, 16</t>
  </si>
  <si>
    <t>what bracket are we using</t>
  </si>
  <si>
    <t>double Elim?</t>
  </si>
  <si>
    <t>1-true, 0-false, defualt = 1</t>
  </si>
  <si>
    <t>things that need to be done for 64</t>
  </si>
  <si>
    <t>Playback 2nd, 1</t>
  </si>
  <si>
    <t>Playback 2nd, 2</t>
  </si>
  <si>
    <t>Playback 2nd, 3</t>
  </si>
  <si>
    <t>Playback 2nd, 4</t>
  </si>
  <si>
    <t>Playback 2nd, 5</t>
  </si>
  <si>
    <t>Playback 2nd, 6</t>
  </si>
  <si>
    <t>Playback 2nd, 7</t>
  </si>
  <si>
    <t>Playback 2nd, 8</t>
  </si>
  <si>
    <t>Playback Finals</t>
  </si>
  <si>
    <t>Finals</t>
  </si>
  <si>
    <t>have you already made brackets for time and location</t>
  </si>
  <si>
    <t>1-true, 0-false, defualt = 0</t>
  </si>
  <si>
    <t>1-4, Default=3</t>
  </si>
  <si>
    <t>8,16,32,64</t>
  </si>
  <si>
    <t>fix the round numbers</t>
  </si>
  <si>
    <t>64 needs to be finihsed</t>
  </si>
  <si>
    <t>PreBracket???</t>
  </si>
  <si>
    <t>Prebracket team number</t>
  </si>
  <si>
    <t>not used</t>
  </si>
  <si>
    <t>0-64 hopefully</t>
  </si>
  <si>
    <t>BreBracket BrackNum</t>
  </si>
  <si>
    <t>1-4 Default = 3</t>
  </si>
  <si>
    <t>PreBrack GoldNum</t>
  </si>
  <si>
    <t>Club Email:</t>
  </si>
  <si>
    <t>uccstennisclub@gmail.com</t>
  </si>
  <si>
    <t>Personal Email:</t>
  </si>
  <si>
    <t>jdvosstennis@gmail.com</t>
  </si>
  <si>
    <t>Josh Voss, VP of UCCS Tennis Club</t>
  </si>
  <si>
    <t>Developer:</t>
  </si>
  <si>
    <t>update the bracket play functions</t>
  </si>
  <si>
    <t>University of team 1</t>
  </si>
  <si>
    <t>University of team 2</t>
  </si>
  <si>
    <t>University of team 3</t>
  </si>
  <si>
    <t>University of team 4</t>
  </si>
  <si>
    <t>University of team 5</t>
  </si>
  <si>
    <t>University of team 6</t>
  </si>
  <si>
    <t>University of team 7</t>
  </si>
  <si>
    <t>University of team 8</t>
  </si>
  <si>
    <t>University of team 9</t>
  </si>
  <si>
    <t>University of team 10</t>
  </si>
  <si>
    <t>University of team 11</t>
  </si>
  <si>
    <t>University of team 12</t>
  </si>
  <si>
    <t>University of team 13</t>
  </si>
  <si>
    <t>University of team 14</t>
  </si>
  <si>
    <t>University of team 15</t>
  </si>
  <si>
    <t>University of team 16</t>
  </si>
  <si>
    <t>University of team 17</t>
  </si>
  <si>
    <t>University of team 18</t>
  </si>
  <si>
    <t>University of team 19</t>
  </si>
  <si>
    <t>University of team 20</t>
  </si>
  <si>
    <t>University of team 21</t>
  </si>
  <si>
    <t>University of team 22</t>
  </si>
  <si>
    <t>University of team 23</t>
  </si>
  <si>
    <t>University of team 24</t>
  </si>
  <si>
    <t>University of team 25</t>
  </si>
  <si>
    <t>University of team 26</t>
  </si>
  <si>
    <t>University of team 27</t>
  </si>
  <si>
    <t>University of team 28</t>
  </si>
  <si>
    <t>University of team 29</t>
  </si>
  <si>
    <t>University of team 30</t>
  </si>
  <si>
    <t>University of team 31</t>
  </si>
  <si>
    <t>University of team 32</t>
  </si>
  <si>
    <t>University of team 33</t>
  </si>
  <si>
    <t>University of team 34</t>
  </si>
  <si>
    <t>University of team 35</t>
  </si>
  <si>
    <t>University of team 36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</si>
  <si>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</si>
  <si>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</si>
  <si>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</si>
  <si>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</si>
  <si>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</si>
  <si>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</si>
  <si>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</si>
  <si>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</si>
  <si>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</si>
  <si>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</si>
  <si>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</si>
  <si>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</si>
  <si>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</si>
  <si>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</si>
  <si>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team 15</t>
  </si>
  <si>
    <t>team 16</t>
  </si>
  <si>
    <t>team 17</t>
  </si>
  <si>
    <t>team 18</t>
  </si>
  <si>
    <t>team 19</t>
  </si>
  <si>
    <t>team 20</t>
  </si>
  <si>
    <t>team 21</t>
  </si>
  <si>
    <t>team 22</t>
  </si>
  <si>
    <t>team 23</t>
  </si>
  <si>
    <t>team 24</t>
  </si>
  <si>
    <t>team 25</t>
  </si>
  <si>
    <t>team 26</t>
  </si>
  <si>
    <t>team 27</t>
  </si>
  <si>
    <t>team 28</t>
  </si>
  <si>
    <t>team 29</t>
  </si>
  <si>
    <t>team 30</t>
  </si>
  <si>
    <t>team 31</t>
  </si>
  <si>
    <t>team 32</t>
  </si>
  <si>
    <t>team 33</t>
  </si>
  <si>
    <t>team 34</t>
  </si>
  <si>
    <t>team 35</t>
  </si>
  <si>
    <t>team 36</t>
  </si>
  <si>
    <t>display drop down on selection of cell (Teams in pools)</t>
  </si>
  <si>
    <t>GOLD BRACKET</t>
  </si>
  <si>
    <t>SILVER BRACKET</t>
  </si>
  <si>
    <t>BRONZE BRACKET</t>
  </si>
  <si>
    <t>fix the "bye" issues for the double elim side of the brackets</t>
  </si>
  <si>
    <t xml:space="preserve"> PreBracket how many in bracket 1 (gold)</t>
  </si>
  <si>
    <t>PreBracket how many in bracket 2 (silver)</t>
  </si>
  <si>
    <t>PreBracket how many in bracket 3 (bronze)</t>
  </si>
  <si>
    <t>PreBracket how many in bracket 4 (copper)</t>
  </si>
  <si>
    <t>PreBracket = teams / number of brackets</t>
  </si>
  <si>
    <t xml:space="preserve">Maybe Massive errro in the </t>
  </si>
  <si>
    <t>UpdateBracketDistributionPreBracket</t>
  </si>
  <si>
    <t>for both codes. Found in UserForm_Function</t>
  </si>
  <si>
    <t>Bye</t>
  </si>
  <si>
    <t>code for the plus and minus can be cleaned up to increase 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</si>
</sst>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6"/>
      <color theme="1"/>
      <name val="Arial Black"/>
      <family val="2"/>
    </font>
    <font>
      <sz val="11"/>
      <color theme="1"/>
      <name val="Arial Black"/>
      <family val="2"/>
    </font>
    <font>
      <b/>
      <sz val="12"/>
      <color theme="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1"/>
      <color theme="1"/>
      <name val="Arial Black"/>
      <family val="2"/>
    </font>
    <font>
      <sz val="18"/>
      <color theme="4" tint="-0.499984740745262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0CECF"/>
        <bgColor indexed="64"/>
      </patternFill>
    </fill>
    <fill>
      <patternFill patternType="solid">
        <fgColor rgb="FFFECEF7"/>
        <bgColor indexed="64"/>
      </patternFill>
    </fill>
  </fills>
  <borders count="61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319">
    <xf numFmtId="0" fontId="0" fillId="0" borderId="0" xfId="0"/>
    <xf numFmtId="0" fontId="0" fillId="7" borderId="0" xfId="0" applyFill="1" applyAlignment="1" applyProtection="1">
      <alignment horizontal="center" vertical="center"/>
      <protection locked="0"/>
    </xf>
    <xf numFmtId="0" fontId="0" fillId="7" borderId="0" xfId="0" applyFill="1" applyProtection="1">
      <protection locked="0"/>
    </xf>
    <xf numFmtId="0" fontId="5" fillId="7" borderId="0" xfId="0" applyFont="1" applyFill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9" fillId="5" borderId="21" xfId="0" applyFont="1" applyFill="1" applyBorder="1" applyAlignment="1" applyProtection="1">
      <alignment horizontal="center" vertical="center"/>
      <protection locked="0"/>
    </xf>
    <xf numFmtId="0" fontId="9" fillId="10" borderId="22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 applyProtection="1">
      <alignment horizontal="center" vertical="center"/>
      <protection locked="0"/>
    </xf>
    <xf numFmtId="0" fontId="9" fillId="11" borderId="16" xfId="0" applyFont="1" applyFill="1" applyBorder="1" applyAlignment="1" applyProtection="1">
      <alignment horizontal="center" vertical="center"/>
      <protection locked="0"/>
    </xf>
    <xf numFmtId="0" fontId="9" fillId="10" borderId="21" xfId="0" applyFont="1" applyFill="1" applyBorder="1" applyAlignment="1" applyProtection="1">
      <alignment horizontal="center" vertical="center"/>
      <protection locked="0"/>
    </xf>
    <xf numFmtId="0" fontId="9" fillId="11" borderId="22" xfId="0" applyFont="1" applyFill="1" applyBorder="1" applyAlignment="1" applyProtection="1">
      <alignment horizontal="center" vertical="center"/>
      <protection locked="0"/>
    </xf>
    <xf numFmtId="0" fontId="9" fillId="12" borderId="16" xfId="0" applyFont="1" applyFill="1" applyBorder="1" applyAlignment="1" applyProtection="1">
      <alignment horizontal="center" vertical="center"/>
      <protection locked="0"/>
    </xf>
    <xf numFmtId="0" fontId="9" fillId="10" borderId="15" xfId="0" applyFont="1" applyFill="1" applyBorder="1" applyAlignment="1" applyProtection="1">
      <alignment horizontal="center" vertical="center"/>
      <protection locked="0"/>
    </xf>
    <xf numFmtId="0" fontId="9" fillId="11" borderId="21" xfId="0" applyFont="1" applyFill="1" applyBorder="1" applyAlignment="1" applyProtection="1">
      <alignment horizontal="center" vertical="center"/>
      <protection locked="0"/>
    </xf>
    <xf numFmtId="0" fontId="9" fillId="12" borderId="22" xfId="0" applyFont="1" applyFill="1" applyBorder="1" applyAlignment="1" applyProtection="1">
      <alignment horizontal="center" vertical="center"/>
      <protection locked="0"/>
    </xf>
    <xf numFmtId="0" fontId="9" fillId="5" borderId="17" xfId="0" applyFont="1" applyFill="1" applyBorder="1" applyAlignment="1" applyProtection="1">
      <alignment horizontal="center" vertical="center"/>
      <protection locked="0"/>
    </xf>
    <xf numFmtId="0" fontId="9" fillId="8" borderId="18" xfId="0" applyFont="1" applyFill="1" applyBorder="1" applyAlignment="1" applyProtection="1">
      <alignment horizontal="center" vertical="center"/>
      <protection locked="0"/>
    </xf>
    <xf numFmtId="0" fontId="9" fillId="10" borderId="17" xfId="0" applyFont="1" applyFill="1" applyBorder="1" applyAlignment="1" applyProtection="1">
      <alignment horizontal="center" vertical="center"/>
      <protection locked="0"/>
    </xf>
    <xf numFmtId="0" fontId="9" fillId="11" borderId="17" xfId="0" applyFont="1" applyFill="1" applyBorder="1" applyAlignment="1" applyProtection="1">
      <alignment horizontal="center" vertical="center"/>
      <protection locked="0"/>
    </xf>
    <xf numFmtId="0" fontId="9" fillId="12" borderId="23" xfId="0" applyFont="1" applyFill="1" applyBorder="1" applyAlignment="1" applyProtection="1">
      <alignment horizontal="center" vertical="center"/>
      <protection locked="0"/>
    </xf>
    <xf numFmtId="0" fontId="9" fillId="8" borderId="24" xfId="0" applyFont="1" applyFill="1" applyBorder="1" applyAlignment="1" applyProtection="1">
      <alignment horizontal="center" vertical="center"/>
      <protection locked="0"/>
    </xf>
    <xf numFmtId="0" fontId="9" fillId="10" borderId="16" xfId="0" applyFont="1" applyFill="1" applyBorder="1" applyAlignment="1" applyProtection="1">
      <alignment horizontal="center" vertical="center"/>
      <protection locked="0"/>
    </xf>
    <xf numFmtId="0" fontId="9" fillId="11" borderId="15" xfId="0" applyFont="1" applyFill="1" applyBorder="1" applyAlignment="1" applyProtection="1">
      <alignment horizontal="center" vertical="center"/>
      <protection locked="0"/>
    </xf>
    <xf numFmtId="0" fontId="0" fillId="17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15" borderId="0" xfId="0" applyFill="1" applyProtection="1">
      <protection locked="0"/>
    </xf>
    <xf numFmtId="0" fontId="0" fillId="0" borderId="0" xfId="0" quotePrefix="1" applyProtection="1">
      <protection locked="0"/>
    </xf>
    <xf numFmtId="0" fontId="0" fillId="16" borderId="48" xfId="0" applyFill="1" applyBorder="1" applyProtection="1">
      <protection locked="0"/>
    </xf>
    <xf numFmtId="16" fontId="0" fillId="0" borderId="0" xfId="0" quotePrefix="1" applyNumberFormat="1" applyProtection="1">
      <protection locked="0"/>
    </xf>
    <xf numFmtId="0" fontId="0" fillId="16" borderId="0" xfId="0" applyFill="1" applyProtection="1">
      <protection locked="0"/>
    </xf>
    <xf numFmtId="0" fontId="0" fillId="12" borderId="0" xfId="0" applyFill="1" applyProtection="1">
      <protection locked="0"/>
    </xf>
    <xf numFmtId="0" fontId="8" fillId="21" borderId="28" xfId="0" applyFont="1" applyFill="1" applyBorder="1" applyAlignment="1" applyProtection="1">
      <alignment horizontal="center" vertical="center"/>
      <protection locked="0"/>
    </xf>
    <xf numFmtId="0" fontId="8" fillId="21" borderId="18" xfId="0" applyFont="1" applyFill="1" applyBorder="1" applyAlignment="1" applyProtection="1">
      <alignment horizontal="center" vertical="center"/>
      <protection locked="0"/>
    </xf>
    <xf numFmtId="0" fontId="8" fillId="21" borderId="17" xfId="0" applyFont="1" applyFill="1" applyBorder="1" applyAlignment="1" applyProtection="1">
      <alignment horizontal="center" vertical="center"/>
      <protection locked="0"/>
    </xf>
    <xf numFmtId="0" fontId="8" fillId="21" borderId="23" xfId="0" applyFont="1" applyFill="1" applyBorder="1" applyAlignment="1" applyProtection="1">
      <alignment horizontal="center" vertical="center"/>
      <protection locked="0"/>
    </xf>
    <xf numFmtId="0" fontId="8" fillId="21" borderId="24" xfId="0" applyFont="1" applyFill="1" applyBorder="1" applyAlignment="1" applyProtection="1">
      <alignment horizontal="center" vertical="center"/>
      <protection locked="0"/>
    </xf>
    <xf numFmtId="0" fontId="0" fillId="4" borderId="58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5" borderId="58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21" borderId="0" xfId="0" applyFill="1"/>
    <xf numFmtId="0" fontId="0" fillId="7" borderId="0" xfId="0" applyFill="1" applyAlignment="1" applyProtection="1">
      <alignment wrapText="1"/>
      <protection locked="0"/>
    </xf>
    <xf numFmtId="0" fontId="16" fillId="7" borderId="0" xfId="1" applyFill="1" applyProtection="1"/>
    <xf numFmtId="0" fontId="0" fillId="7" borderId="0" xfId="0" applyFill="1" applyAlignment="1">
      <alignment horizontal="right"/>
    </xf>
    <xf numFmtId="0" fontId="10" fillId="7" borderId="0" xfId="0" applyFont="1" applyFill="1"/>
    <xf numFmtId="0" fontId="2" fillId="7" borderId="0" xfId="0" applyFont="1" applyFill="1" applyAlignment="1">
      <alignment horizontal="right"/>
    </xf>
    <xf numFmtId="0" fontId="0" fillId="13" borderId="14" xfId="0" applyFill="1" applyBorder="1"/>
    <xf numFmtId="0" fontId="0" fillId="0" borderId="31" xfId="0" applyBorder="1"/>
    <xf numFmtId="0" fontId="0" fillId="0" borderId="12" xfId="0" applyBorder="1"/>
    <xf numFmtId="0" fontId="0" fillId="14" borderId="39" xfId="0" applyFill="1" applyBorder="1"/>
    <xf numFmtId="0" fontId="0" fillId="14" borderId="40" xfId="0" applyFill="1" applyBorder="1"/>
    <xf numFmtId="0" fontId="0" fillId="15" borderId="39" xfId="0" applyFill="1" applyBorder="1"/>
    <xf numFmtId="0" fontId="0" fillId="15" borderId="40" xfId="0" applyFill="1" applyBorder="1"/>
    <xf numFmtId="0" fontId="0" fillId="14" borderId="41" xfId="0" applyFill="1" applyBorder="1"/>
    <xf numFmtId="0" fontId="0" fillId="2" borderId="14" xfId="0" applyFill="1" applyBorder="1"/>
    <xf numFmtId="0" fontId="0" fillId="2" borderId="12" xfId="0" applyFill="1" applyBorder="1"/>
    <xf numFmtId="0" fontId="0" fillId="5" borderId="14" xfId="0" applyFill="1" applyBorder="1"/>
    <xf numFmtId="0" fontId="0" fillId="5" borderId="12" xfId="0" applyFill="1" applyBorder="1"/>
    <xf numFmtId="0" fontId="0" fillId="16" borderId="43" xfId="0" applyFill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10" xfId="0" applyBorder="1"/>
    <xf numFmtId="0" fontId="0" fillId="0" borderId="9" xfId="0" applyBorder="1"/>
    <xf numFmtId="0" fontId="0" fillId="14" borderId="15" xfId="0" applyFill="1" applyBorder="1"/>
    <xf numFmtId="0" fontId="0" fillId="14" borderId="16" xfId="0" applyFill="1" applyBorder="1"/>
    <xf numFmtId="0" fontId="0" fillId="15" borderId="15" xfId="0" applyFill="1" applyBorder="1"/>
    <xf numFmtId="0" fontId="0" fillId="15" borderId="16" xfId="0" applyFill="1" applyBorder="1"/>
    <xf numFmtId="0" fontId="0" fillId="14" borderId="38" xfId="0" applyFill="1" applyBorder="1"/>
    <xf numFmtId="0" fontId="0" fillId="2" borderId="10" xfId="0" applyFill="1" applyBorder="1"/>
    <xf numFmtId="0" fontId="0" fillId="2" borderId="9" xfId="0" applyFill="1" applyBorder="1"/>
    <xf numFmtId="0" fontId="0" fillId="5" borderId="10" xfId="0" applyFill="1" applyBorder="1"/>
    <xf numFmtId="0" fontId="0" fillId="5" borderId="9" xfId="0" applyFill="1" applyBorder="1"/>
    <xf numFmtId="0" fontId="0" fillId="16" borderId="44" xfId="0" applyFill="1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10" borderId="15" xfId="0" applyFill="1" applyBorder="1"/>
    <xf numFmtId="0" fontId="0" fillId="10" borderId="16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0" borderId="38" xfId="0" applyFill="1" applyBorder="1"/>
    <xf numFmtId="0" fontId="0" fillId="0" borderId="33" xfId="0" applyBorder="1"/>
    <xf numFmtId="0" fontId="0" fillId="0" borderId="34" xfId="0" applyBorder="1"/>
    <xf numFmtId="0" fontId="0" fillId="0" borderId="30" xfId="0" applyBorder="1"/>
    <xf numFmtId="0" fontId="0" fillId="2" borderId="0" xfId="0" applyFill="1"/>
    <xf numFmtId="0" fontId="0" fillId="0" borderId="29" xfId="0" applyBorder="1"/>
    <xf numFmtId="0" fontId="0" fillId="0" borderId="35" xfId="0" applyBorder="1"/>
    <xf numFmtId="0" fontId="0" fillId="0" borderId="36" xfId="0" applyBorder="1"/>
    <xf numFmtId="0" fontId="0" fillId="0" borderId="26" xfId="0" applyBorder="1"/>
    <xf numFmtId="0" fontId="0" fillId="0" borderId="11" xfId="0" applyBorder="1"/>
    <xf numFmtId="0" fontId="0" fillId="0" borderId="32" xfId="0" applyBorder="1"/>
    <xf numFmtId="0" fontId="0" fillId="0" borderId="37" xfId="0" applyBorder="1"/>
    <xf numFmtId="0" fontId="0" fillId="0" borderId="13" xfId="0" applyBorder="1"/>
    <xf numFmtId="0" fontId="0" fillId="14" borderId="17" xfId="0" applyFill="1" applyBorder="1"/>
    <xf numFmtId="0" fontId="0" fillId="14" borderId="18" xfId="0" applyFill="1" applyBorder="1"/>
    <xf numFmtId="0" fontId="0" fillId="15" borderId="17" xfId="0" applyFill="1" applyBorder="1"/>
    <xf numFmtId="0" fontId="0" fillId="15" borderId="18" xfId="0" applyFill="1" applyBorder="1"/>
    <xf numFmtId="0" fontId="0" fillId="14" borderId="42" xfId="0" applyFill="1" applyBorder="1"/>
    <xf numFmtId="0" fontId="0" fillId="16" borderId="45" xfId="0" applyFill="1" applyBorder="1"/>
    <xf numFmtId="0" fontId="0" fillId="0" borderId="23" xfId="0" applyBorder="1"/>
    <xf numFmtId="0" fontId="0" fillId="0" borderId="57" xfId="0" applyBorder="1"/>
    <xf numFmtId="0" fontId="0" fillId="0" borderId="24" xfId="0" applyBorder="1"/>
    <xf numFmtId="0" fontId="0" fillId="2" borderId="11" xfId="0" applyFill="1" applyBorder="1"/>
    <xf numFmtId="0" fontId="0" fillId="2" borderId="13" xfId="0" applyFill="1" applyBorder="1"/>
    <xf numFmtId="0" fontId="0" fillId="5" borderId="11" xfId="0" applyFill="1" applyBorder="1"/>
    <xf numFmtId="0" fontId="0" fillId="5" borderId="13" xfId="0" applyFill="1" applyBorder="1"/>
    <xf numFmtId="0" fontId="0" fillId="15" borderId="0" xfId="0" applyFill="1"/>
    <xf numFmtId="0" fontId="14" fillId="7" borderId="0" xfId="0" applyFont="1" applyFill="1" applyAlignment="1">
      <alignment vertical="center"/>
    </xf>
    <xf numFmtId="0" fontId="0" fillId="7" borderId="0" xfId="0" applyFill="1"/>
    <xf numFmtId="0" fontId="0" fillId="13" borderId="0" xfId="0" applyFill="1"/>
    <xf numFmtId="0" fontId="15" fillId="13" borderId="0" xfId="0" applyFont="1" applyFill="1" applyAlignment="1">
      <alignment horizontal="center" vertical="center"/>
    </xf>
    <xf numFmtId="0" fontId="10" fillId="18" borderId="0" xfId="0" applyFont="1" applyFill="1" applyAlignment="1">
      <alignment horizontal="center" vertical="center" shrinkToFit="1"/>
    </xf>
    <xf numFmtId="0" fontId="9" fillId="18" borderId="49" xfId="0" applyFont="1" applyFill="1" applyBorder="1" applyAlignment="1">
      <alignment horizontal="center" vertical="center"/>
    </xf>
    <xf numFmtId="0" fontId="0" fillId="7" borderId="9" xfId="0" applyFill="1" applyBorder="1"/>
    <xf numFmtId="0" fontId="10" fillId="18" borderId="31" xfId="0" applyFont="1" applyFill="1" applyBorder="1" applyAlignment="1">
      <alignment horizontal="center" vertical="center"/>
    </xf>
    <xf numFmtId="0" fontId="0" fillId="18" borderId="12" xfId="0" applyFill="1" applyBorder="1"/>
    <xf numFmtId="0" fontId="9" fillId="19" borderId="42" xfId="0" applyFont="1" applyFill="1" applyBorder="1" applyAlignment="1">
      <alignment horizontal="center" vertical="center"/>
    </xf>
    <xf numFmtId="0" fontId="10" fillId="19" borderId="24" xfId="0" applyFont="1" applyFill="1" applyBorder="1" applyAlignment="1">
      <alignment horizontal="center" vertical="center" shrinkToFit="1"/>
    </xf>
    <xf numFmtId="0" fontId="13" fillId="18" borderId="0" xfId="0" applyFont="1" applyFill="1" applyAlignment="1">
      <alignment horizontal="center" vertical="top"/>
    </xf>
    <xf numFmtId="0" fontId="0" fillId="18" borderId="9" xfId="0" applyFill="1" applyBorder="1"/>
    <xf numFmtId="0" fontId="10" fillId="19" borderId="11" xfId="0" applyFont="1" applyFill="1" applyBorder="1" applyAlignment="1">
      <alignment horizontal="center" vertical="center" shrinkToFit="1"/>
    </xf>
    <xf numFmtId="0" fontId="9" fillId="19" borderId="46" xfId="0" applyFont="1" applyFill="1" applyBorder="1" applyAlignment="1">
      <alignment horizontal="center" vertical="center"/>
    </xf>
    <xf numFmtId="0" fontId="0" fillId="19" borderId="14" xfId="0" applyFill="1" applyBorder="1"/>
    <xf numFmtId="0" fontId="10" fillId="19" borderId="12" xfId="0" applyFont="1" applyFill="1" applyBorder="1" applyAlignment="1">
      <alignment horizontal="center" vertical="top"/>
    </xf>
    <xf numFmtId="0" fontId="13" fillId="18" borderId="0" xfId="0" applyFont="1" applyFill="1" applyAlignment="1">
      <alignment horizontal="center"/>
    </xf>
    <xf numFmtId="0" fontId="10" fillId="19" borderId="0" xfId="0" applyFont="1" applyFill="1" applyAlignment="1">
      <alignment horizontal="center" vertical="top"/>
    </xf>
    <xf numFmtId="0" fontId="0" fillId="19" borderId="0" xfId="0" applyFill="1"/>
    <xf numFmtId="0" fontId="0" fillId="7" borderId="10" xfId="0" applyFill="1" applyBorder="1"/>
    <xf numFmtId="0" fontId="0" fillId="19" borderId="10" xfId="0" applyFill="1" applyBorder="1"/>
    <xf numFmtId="0" fontId="0" fillId="19" borderId="9" xfId="0" applyFill="1" applyBorder="1"/>
    <xf numFmtId="0" fontId="10" fillId="18" borderId="32" xfId="0" applyFont="1" applyFill="1" applyBorder="1" applyAlignment="1">
      <alignment horizontal="center" vertical="center"/>
    </xf>
    <xf numFmtId="0" fontId="0" fillId="18" borderId="13" xfId="0" applyFill="1" applyBorder="1"/>
    <xf numFmtId="0" fontId="9" fillId="18" borderId="50" xfId="0" applyFont="1" applyFill="1" applyBorder="1" applyAlignment="1">
      <alignment horizontal="center" vertical="center"/>
    </xf>
    <xf numFmtId="0" fontId="9" fillId="17" borderId="42" xfId="0" applyFont="1" applyFill="1" applyBorder="1" applyAlignment="1">
      <alignment horizontal="center" vertical="center"/>
    </xf>
    <xf numFmtId="0" fontId="10" fillId="17" borderId="24" xfId="0" applyFont="1" applyFill="1" applyBorder="1" applyAlignment="1">
      <alignment horizontal="center" vertical="center" shrinkToFit="1"/>
    </xf>
    <xf numFmtId="0" fontId="13" fillId="19" borderId="0" xfId="0" applyFont="1" applyFill="1" applyAlignment="1">
      <alignment horizontal="center" vertical="top"/>
    </xf>
    <xf numFmtId="0" fontId="11" fillId="19" borderId="0" xfId="0" applyFont="1" applyFill="1" applyAlignment="1">
      <alignment horizontal="center" vertical="center"/>
    </xf>
    <xf numFmtId="0" fontId="10" fillId="17" borderId="11" xfId="0" applyFont="1" applyFill="1" applyBorder="1" applyAlignment="1">
      <alignment horizontal="center" vertical="center" shrinkToFit="1"/>
    </xf>
    <xf numFmtId="0" fontId="9" fillId="17" borderId="46" xfId="0" applyFont="1" applyFill="1" applyBorder="1" applyAlignment="1">
      <alignment horizontal="center" vertical="center"/>
    </xf>
    <xf numFmtId="0" fontId="0" fillId="17" borderId="14" xfId="0" applyFill="1" applyBorder="1"/>
    <xf numFmtId="0" fontId="10" fillId="17" borderId="12" xfId="0" applyFont="1" applyFill="1" applyBorder="1" applyAlignment="1">
      <alignment horizontal="center" vertical="top"/>
    </xf>
    <xf numFmtId="0" fontId="13" fillId="19" borderId="0" xfId="0" applyFont="1" applyFill="1" applyAlignment="1">
      <alignment horizontal="center"/>
    </xf>
    <xf numFmtId="0" fontId="10" fillId="17" borderId="14" xfId="0" applyFont="1" applyFill="1" applyBorder="1" applyAlignment="1">
      <alignment horizontal="center" vertical="top"/>
    </xf>
    <xf numFmtId="0" fontId="0" fillId="17" borderId="0" xfId="0" applyFill="1"/>
    <xf numFmtId="0" fontId="0" fillId="17" borderId="10" xfId="0" applyFill="1" applyBorder="1"/>
    <xf numFmtId="0" fontId="0" fillId="19" borderId="11" xfId="0" applyFill="1" applyBorder="1"/>
    <xf numFmtId="0" fontId="10" fillId="19" borderId="13" xfId="0" applyFont="1" applyFill="1" applyBorder="1" applyAlignment="1">
      <alignment horizontal="center" vertical="top"/>
    </xf>
    <xf numFmtId="0" fontId="0" fillId="19" borderId="32" xfId="0" applyFill="1" applyBorder="1"/>
    <xf numFmtId="0" fontId="9" fillId="19" borderId="47" xfId="0" applyFont="1" applyFill="1" applyBorder="1" applyAlignment="1">
      <alignment horizontal="center" vertical="center"/>
    </xf>
    <xf numFmtId="0" fontId="10" fillId="19" borderId="53" xfId="0" applyFont="1" applyFill="1" applyBorder="1" applyAlignment="1">
      <alignment horizontal="center" vertical="center" shrinkToFit="1"/>
    </xf>
    <xf numFmtId="0" fontId="10" fillId="19" borderId="51" xfId="0" applyFont="1" applyFill="1" applyBorder="1" applyAlignment="1">
      <alignment horizontal="center" vertical="center" shrinkToFit="1"/>
    </xf>
    <xf numFmtId="0" fontId="0" fillId="17" borderId="9" xfId="0" applyFill="1" applyBorder="1"/>
    <xf numFmtId="0" fontId="10" fillId="17" borderId="13" xfId="0" applyFont="1" applyFill="1" applyBorder="1" applyAlignment="1">
      <alignment horizontal="center" vertical="center" shrinkToFit="1"/>
    </xf>
    <xf numFmtId="0" fontId="13" fillId="17" borderId="0" xfId="0" applyFont="1" applyFill="1" applyAlignment="1">
      <alignment horizontal="center" vertical="top"/>
    </xf>
    <xf numFmtId="0" fontId="10" fillId="7" borderId="12" xfId="0" applyFont="1" applyFill="1" applyBorder="1" applyAlignment="1">
      <alignment horizontal="center" vertical="top"/>
    </xf>
    <xf numFmtId="0" fontId="13" fillId="17" borderId="0" xfId="0" applyFont="1" applyFill="1" applyAlignment="1">
      <alignment horizontal="center"/>
    </xf>
    <xf numFmtId="0" fontId="10" fillId="7" borderId="14" xfId="0" applyFont="1" applyFill="1" applyBorder="1" applyAlignment="1">
      <alignment horizontal="center" vertical="top"/>
    </xf>
    <xf numFmtId="0" fontId="0" fillId="17" borderId="11" xfId="0" applyFill="1" applyBorder="1"/>
    <xf numFmtId="0" fontId="10" fillId="17" borderId="13" xfId="0" applyFont="1" applyFill="1" applyBorder="1" applyAlignment="1">
      <alignment horizontal="center" vertical="top"/>
    </xf>
    <xf numFmtId="0" fontId="10" fillId="17" borderId="11" xfId="0" applyFont="1" applyFill="1" applyBorder="1" applyAlignment="1">
      <alignment horizontal="center" vertical="top"/>
    </xf>
    <xf numFmtId="0" fontId="0" fillId="17" borderId="32" xfId="0" applyFill="1" applyBorder="1"/>
    <xf numFmtId="0" fontId="9" fillId="17" borderId="47" xfId="0" applyFont="1" applyFill="1" applyBorder="1" applyAlignment="1">
      <alignment horizontal="center" vertical="center"/>
    </xf>
    <xf numFmtId="0" fontId="10" fillId="17" borderId="53" xfId="0" applyFont="1" applyFill="1" applyBorder="1" applyAlignment="1">
      <alignment horizontal="center" vertical="center" shrinkToFit="1"/>
    </xf>
    <xf numFmtId="0" fontId="10" fillId="17" borderId="51" xfId="0" applyFont="1" applyFill="1" applyBorder="1" applyAlignment="1">
      <alignment horizontal="center" vertical="center" shrinkToFit="1"/>
    </xf>
    <xf numFmtId="0" fontId="10" fillId="17" borderId="37" xfId="0" applyFont="1" applyFill="1" applyBorder="1" applyAlignment="1">
      <alignment horizontal="center" vertical="center" shrinkToFit="1"/>
    </xf>
    <xf numFmtId="0" fontId="9" fillId="17" borderId="28" xfId="0" applyFont="1" applyFill="1" applyBorder="1" applyAlignment="1">
      <alignment horizontal="center" vertical="center"/>
    </xf>
    <xf numFmtId="0" fontId="10" fillId="17" borderId="31" xfId="0" applyFont="1" applyFill="1" applyBorder="1" applyAlignment="1">
      <alignment horizontal="center" vertical="center"/>
    </xf>
    <xf numFmtId="0" fontId="0" fillId="17" borderId="12" xfId="0" applyFill="1" applyBorder="1"/>
    <xf numFmtId="0" fontId="10" fillId="17" borderId="32" xfId="0" applyFont="1" applyFill="1" applyBorder="1" applyAlignment="1">
      <alignment horizontal="center" vertical="center"/>
    </xf>
    <xf numFmtId="0" fontId="0" fillId="17" borderId="13" xfId="0" applyFill="1" applyBorder="1"/>
    <xf numFmtId="0" fontId="10" fillId="17" borderId="59" xfId="0" applyFont="1" applyFill="1" applyBorder="1" applyAlignment="1">
      <alignment horizontal="center" vertical="center" shrinkToFit="1"/>
    </xf>
    <xf numFmtId="0" fontId="9" fillId="17" borderId="60" xfId="0" applyFont="1" applyFill="1" applyBorder="1" applyAlignment="1">
      <alignment horizontal="center" vertical="center"/>
    </xf>
    <xf numFmtId="0" fontId="9" fillId="20" borderId="46" xfId="0" applyFont="1" applyFill="1" applyBorder="1" applyAlignment="1">
      <alignment horizontal="center" vertical="center"/>
    </xf>
    <xf numFmtId="0" fontId="10" fillId="20" borderId="13" xfId="0" applyFont="1" applyFill="1" applyBorder="1" applyAlignment="1">
      <alignment horizontal="center" vertical="center" shrinkToFit="1"/>
    </xf>
    <xf numFmtId="0" fontId="10" fillId="20" borderId="11" xfId="0" applyFont="1" applyFill="1" applyBorder="1" applyAlignment="1">
      <alignment horizontal="center" vertical="center" shrinkToFit="1"/>
    </xf>
    <xf numFmtId="0" fontId="0" fillId="20" borderId="14" xfId="0" applyFill="1" applyBorder="1"/>
    <xf numFmtId="0" fontId="10" fillId="20" borderId="12" xfId="0" applyFont="1" applyFill="1" applyBorder="1" applyAlignment="1">
      <alignment horizontal="center" vertical="top"/>
    </xf>
    <xf numFmtId="0" fontId="10" fillId="20" borderId="14" xfId="0" applyFont="1" applyFill="1" applyBorder="1" applyAlignment="1">
      <alignment horizontal="center" vertical="top"/>
    </xf>
    <xf numFmtId="0" fontId="0" fillId="20" borderId="0" xfId="0" applyFill="1"/>
    <xf numFmtId="0" fontId="0" fillId="20" borderId="10" xfId="0" applyFill="1" applyBorder="1"/>
    <xf numFmtId="0" fontId="0" fillId="20" borderId="9" xfId="0" applyFill="1" applyBorder="1"/>
    <xf numFmtId="0" fontId="13" fillId="20" borderId="0" xfId="0" applyFont="1" applyFill="1" applyAlignment="1">
      <alignment horizontal="center" vertical="top"/>
    </xf>
    <xf numFmtId="0" fontId="13" fillId="20" borderId="0" xfId="0" applyFont="1" applyFill="1" applyAlignment="1">
      <alignment horizontal="center"/>
    </xf>
    <xf numFmtId="0" fontId="0" fillId="20" borderId="11" xfId="0" applyFill="1" applyBorder="1"/>
    <xf numFmtId="0" fontId="10" fillId="20" borderId="13" xfId="0" applyFont="1" applyFill="1" applyBorder="1" applyAlignment="1">
      <alignment horizontal="center" vertical="top"/>
    </xf>
    <xf numFmtId="0" fontId="10" fillId="20" borderId="10" xfId="0" applyFont="1" applyFill="1" applyBorder="1" applyAlignment="1">
      <alignment horizontal="center" vertical="top"/>
    </xf>
    <xf numFmtId="0" fontId="12" fillId="20" borderId="32" xfId="0" applyFont="1" applyFill="1" applyBorder="1" applyAlignment="1">
      <alignment horizontal="center" vertical="center"/>
    </xf>
    <xf numFmtId="0" fontId="9" fillId="20" borderId="47" xfId="0" applyFont="1" applyFill="1" applyBorder="1" applyAlignment="1">
      <alignment horizontal="center" vertical="center"/>
    </xf>
    <xf numFmtId="0" fontId="10" fillId="20" borderId="53" xfId="0" applyFont="1" applyFill="1" applyBorder="1" applyAlignment="1">
      <alignment horizontal="center" vertical="center" shrinkToFit="1"/>
    </xf>
    <xf numFmtId="0" fontId="10" fillId="20" borderId="51" xfId="0" applyFont="1" applyFill="1" applyBorder="1" applyAlignment="1">
      <alignment horizontal="center" vertical="center" shrinkToFit="1"/>
    </xf>
    <xf numFmtId="0" fontId="10" fillId="20" borderId="37" xfId="0" applyFont="1" applyFill="1" applyBorder="1" applyAlignment="1">
      <alignment horizontal="center" vertical="center" shrinkToFit="1"/>
    </xf>
    <xf numFmtId="0" fontId="10" fillId="20" borderId="31" xfId="0" applyFont="1" applyFill="1" applyBorder="1" applyAlignment="1">
      <alignment horizontal="center" vertical="center"/>
    </xf>
    <xf numFmtId="0" fontId="0" fillId="20" borderId="12" xfId="0" applyFill="1" applyBorder="1"/>
    <xf numFmtId="0" fontId="10" fillId="20" borderId="32" xfId="0" applyFont="1" applyFill="1" applyBorder="1" applyAlignment="1">
      <alignment horizontal="center" vertical="center"/>
    </xf>
    <xf numFmtId="0" fontId="0" fillId="20" borderId="13" xfId="0" applyFill="1" applyBorder="1"/>
    <xf numFmtId="0" fontId="10" fillId="20" borderId="59" xfId="0" applyFont="1" applyFill="1" applyBorder="1" applyAlignment="1">
      <alignment horizontal="center" vertical="center" shrinkToFit="1"/>
    </xf>
    <xf numFmtId="0" fontId="0" fillId="22" borderId="46" xfId="0" applyFill="1" applyBorder="1"/>
    <xf numFmtId="0" fontId="10" fillId="22" borderId="13" xfId="0" applyFont="1" applyFill="1" applyBorder="1" applyAlignment="1">
      <alignment horizontal="center" vertical="center" shrinkToFit="1"/>
    </xf>
    <xf numFmtId="0" fontId="10" fillId="22" borderId="11" xfId="0" applyFont="1" applyFill="1" applyBorder="1" applyAlignment="1">
      <alignment horizontal="center" vertical="center" shrinkToFit="1"/>
    </xf>
    <xf numFmtId="0" fontId="0" fillId="22" borderId="14" xfId="0" applyFill="1" applyBorder="1"/>
    <xf numFmtId="0" fontId="10" fillId="22" borderId="12" xfId="0" applyFont="1" applyFill="1" applyBorder="1" applyAlignment="1">
      <alignment horizontal="center" vertical="top"/>
    </xf>
    <xf numFmtId="0" fontId="10" fillId="22" borderId="14" xfId="0" applyFont="1" applyFill="1" applyBorder="1" applyAlignment="1">
      <alignment horizontal="center" vertical="top"/>
    </xf>
    <xf numFmtId="0" fontId="0" fillId="22" borderId="12" xfId="0" applyFill="1" applyBorder="1"/>
    <xf numFmtId="0" fontId="0" fillId="22" borderId="10" xfId="0" applyFill="1" applyBorder="1"/>
    <xf numFmtId="0" fontId="0" fillId="22" borderId="0" xfId="0" applyFill="1"/>
    <xf numFmtId="0" fontId="0" fillId="22" borderId="9" xfId="0" applyFill="1" applyBorder="1"/>
    <xf numFmtId="0" fontId="13" fillId="22" borderId="0" xfId="0" applyFont="1" applyFill="1" applyAlignment="1">
      <alignment horizontal="center" vertical="top"/>
    </xf>
    <xf numFmtId="0" fontId="13" fillId="22" borderId="0" xfId="0" applyFont="1" applyFill="1" applyAlignment="1">
      <alignment horizontal="center"/>
    </xf>
    <xf numFmtId="0" fontId="0" fillId="22" borderId="11" xfId="0" applyFill="1" applyBorder="1"/>
    <xf numFmtId="0" fontId="10" fillId="22" borderId="13" xfId="0" applyFont="1" applyFill="1" applyBorder="1" applyAlignment="1">
      <alignment horizontal="center" vertical="top"/>
    </xf>
    <xf numFmtId="0" fontId="10" fillId="22" borderId="11" xfId="0" applyFont="1" applyFill="1" applyBorder="1" applyAlignment="1">
      <alignment horizontal="center" vertical="top"/>
    </xf>
    <xf numFmtId="0" fontId="0" fillId="22" borderId="13" xfId="0" applyFill="1" applyBorder="1"/>
    <xf numFmtId="0" fontId="0" fillId="22" borderId="47" xfId="0" applyFill="1" applyBorder="1"/>
    <xf numFmtId="0" fontId="10" fillId="22" borderId="53" xfId="0" applyFont="1" applyFill="1" applyBorder="1" applyAlignment="1">
      <alignment horizontal="center" vertical="center" shrinkToFit="1"/>
    </xf>
    <xf numFmtId="0" fontId="10" fillId="22" borderId="51" xfId="0" applyFont="1" applyFill="1" applyBorder="1" applyAlignment="1">
      <alignment horizontal="center" vertical="center" shrinkToFit="1"/>
    </xf>
    <xf numFmtId="0" fontId="0" fillId="22" borderId="32" xfId="0" applyFill="1" applyBorder="1"/>
    <xf numFmtId="0" fontId="0" fillId="7" borderId="14" xfId="0" applyFill="1" applyBorder="1"/>
    <xf numFmtId="0" fontId="0" fillId="22" borderId="59" xfId="0" applyFill="1" applyBorder="1"/>
    <xf numFmtId="0" fontId="2" fillId="19" borderId="13" xfId="0" applyFont="1" applyFill="1" applyBorder="1" applyAlignment="1">
      <alignment horizontal="center" vertical="center" shrinkToFit="1"/>
    </xf>
    <xf numFmtId="0" fontId="11" fillId="18" borderId="0" xfId="0" applyFont="1" applyFill="1" applyAlignment="1">
      <alignment horizontal="center"/>
    </xf>
    <xf numFmtId="0" fontId="2" fillId="19" borderId="9" xfId="0" applyFont="1" applyFill="1" applyBorder="1" applyAlignment="1">
      <alignment horizontal="center" vertical="center"/>
    </xf>
    <xf numFmtId="0" fontId="11" fillId="18" borderId="0" xfId="0" applyFont="1" applyFill="1" applyAlignment="1">
      <alignment horizontal="center" vertical="top"/>
    </xf>
    <xf numFmtId="0" fontId="2" fillId="17" borderId="13" xfId="0" applyFont="1" applyFill="1" applyBorder="1" applyAlignment="1">
      <alignment horizontal="center" vertical="center" shrinkToFit="1"/>
    </xf>
    <xf numFmtId="0" fontId="2" fillId="17" borderId="0" xfId="0" applyFont="1" applyFill="1" applyAlignment="1">
      <alignment horizontal="center" vertical="center"/>
    </xf>
    <xf numFmtId="0" fontId="10" fillId="17" borderId="10" xfId="0" applyFont="1" applyFill="1" applyBorder="1" applyAlignment="1">
      <alignment horizontal="center" vertical="top"/>
    </xf>
    <xf numFmtId="0" fontId="2" fillId="19" borderId="13" xfId="0" applyFont="1" applyFill="1" applyBorder="1" applyAlignment="1">
      <alignment horizontal="center" vertical="center"/>
    </xf>
    <xf numFmtId="0" fontId="10" fillId="19" borderId="11" xfId="0" applyFont="1" applyFill="1" applyBorder="1" applyAlignment="1">
      <alignment horizontal="center"/>
    </xf>
    <xf numFmtId="0" fontId="2" fillId="19" borderId="9" xfId="0" applyFont="1" applyFill="1" applyBorder="1" applyAlignment="1">
      <alignment horizontal="center" vertical="center" shrinkToFit="1"/>
    </xf>
    <xf numFmtId="0" fontId="10" fillId="19" borderId="0" xfId="0" applyFont="1" applyFill="1" applyAlignment="1">
      <alignment horizontal="center" vertical="center" shrinkToFit="1"/>
    </xf>
    <xf numFmtId="0" fontId="11" fillId="17" borderId="0" xfId="0" applyFont="1" applyFill="1" applyAlignment="1">
      <alignment horizontal="center" vertical="center"/>
    </xf>
    <xf numFmtId="0" fontId="2" fillId="20" borderId="13" xfId="0" applyFont="1" applyFill="1" applyBorder="1" applyAlignment="1">
      <alignment horizontal="center" vertical="center" shrinkToFit="1"/>
    </xf>
    <xf numFmtId="0" fontId="2" fillId="20" borderId="0" xfId="0" applyFont="1" applyFill="1" applyAlignment="1">
      <alignment horizontal="center" vertical="center"/>
    </xf>
    <xf numFmtId="0" fontId="10" fillId="20" borderId="10" xfId="0" applyFont="1" applyFill="1" applyBorder="1" applyAlignment="1">
      <alignment horizontal="center" vertical="center"/>
    </xf>
    <xf numFmtId="0" fontId="2" fillId="17" borderId="13" xfId="0" applyFont="1" applyFill="1" applyBorder="1" applyAlignment="1">
      <alignment horizontal="center" vertical="center"/>
    </xf>
    <xf numFmtId="0" fontId="10" fillId="17" borderId="11" xfId="0" applyFont="1" applyFill="1" applyBorder="1" applyAlignment="1">
      <alignment horizontal="center"/>
    </xf>
    <xf numFmtId="0" fontId="2" fillId="17" borderId="0" xfId="0" applyFont="1" applyFill="1" applyAlignment="1">
      <alignment horizontal="center" vertical="center" shrinkToFit="1"/>
    </xf>
    <xf numFmtId="0" fontId="10" fillId="17" borderId="10" xfId="0" applyFont="1" applyFill="1" applyBorder="1" applyAlignment="1">
      <alignment horizontal="center" vertical="center" shrinkToFit="1"/>
    </xf>
    <xf numFmtId="0" fontId="2" fillId="22" borderId="13" xfId="0" applyFont="1" applyFill="1" applyBorder="1" applyAlignment="1">
      <alignment horizontal="center" vertical="center"/>
    </xf>
    <xf numFmtId="0" fontId="11" fillId="20" borderId="0" xfId="0" applyFont="1" applyFill="1" applyAlignment="1">
      <alignment horizontal="center" vertical="center"/>
    </xf>
    <xf numFmtId="0" fontId="2" fillId="20" borderId="13" xfId="0" applyFont="1" applyFill="1" applyBorder="1" applyAlignment="1">
      <alignment horizontal="center" vertical="center"/>
    </xf>
    <xf numFmtId="0" fontId="10" fillId="20" borderId="11" xfId="0" applyFont="1" applyFill="1" applyBorder="1" applyAlignment="1">
      <alignment horizontal="center" vertical="center"/>
    </xf>
    <xf numFmtId="0" fontId="2" fillId="20" borderId="0" xfId="0" applyFont="1" applyFill="1" applyAlignment="1">
      <alignment horizontal="center" vertical="center" shrinkToFit="1"/>
    </xf>
    <xf numFmtId="0" fontId="10" fillId="20" borderId="10" xfId="0" applyFont="1" applyFill="1" applyBorder="1" applyAlignment="1">
      <alignment horizontal="center" vertical="center" shrinkToFit="1"/>
    </xf>
    <xf numFmtId="0" fontId="0" fillId="8" borderId="46" xfId="0" applyFill="1" applyBorder="1"/>
    <xf numFmtId="0" fontId="0" fillId="8" borderId="13" xfId="0" applyFill="1" applyBorder="1"/>
    <xf numFmtId="0" fontId="11" fillId="22" borderId="0" xfId="0" applyFont="1" applyFill="1" applyAlignment="1">
      <alignment horizontal="center" vertical="center"/>
    </xf>
    <xf numFmtId="0" fontId="0" fillId="8" borderId="11" xfId="0" applyFill="1" applyBorder="1"/>
    <xf numFmtId="0" fontId="0" fillId="8" borderId="14" xfId="0" applyFill="1" applyBorder="1"/>
    <xf numFmtId="0" fontId="0" fillId="8" borderId="0" xfId="0" applyFill="1"/>
    <xf numFmtId="0" fontId="0" fillId="8" borderId="12" xfId="0" applyFill="1" applyBorder="1"/>
    <xf numFmtId="0" fontId="0" fillId="8" borderId="10" xfId="0" applyFill="1" applyBorder="1"/>
    <xf numFmtId="0" fontId="0" fillId="8" borderId="9" xfId="0" applyFill="1" applyBorder="1"/>
    <xf numFmtId="0" fontId="2" fillId="22" borderId="12" xfId="0" applyFont="1" applyFill="1" applyBorder="1" applyAlignment="1">
      <alignment horizontal="center" vertical="center"/>
    </xf>
    <xf numFmtId="0" fontId="0" fillId="8" borderId="47" xfId="0" applyFill="1" applyBorder="1"/>
    <xf numFmtId="0" fontId="3" fillId="3" borderId="7" xfId="0" applyFont="1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4" borderId="3" xfId="0" applyFill="1" applyBorder="1"/>
    <xf numFmtId="0" fontId="0" fillId="5" borderId="3" xfId="0" applyFill="1" applyBorder="1"/>
    <xf numFmtId="0" fontId="0" fillId="3" borderId="3" xfId="0" applyFill="1" applyBorder="1"/>
    <xf numFmtId="0" fontId="0" fillId="2" borderId="3" xfId="0" applyFill="1" applyBorder="1"/>
    <xf numFmtId="0" fontId="0" fillId="4" borderId="4" xfId="0" applyFill="1" applyBorder="1"/>
    <xf numFmtId="0" fontId="0" fillId="5" borderId="4" xfId="0" applyFill="1" applyBorder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6" borderId="0" xfId="0" applyFill="1"/>
    <xf numFmtId="0" fontId="0" fillId="18" borderId="0" xfId="0" applyFill="1" applyAlignment="1">
      <alignment horizontal="center" vertical="center"/>
    </xf>
    <xf numFmtId="0" fontId="0" fillId="18" borderId="31" xfId="0" applyFill="1" applyBorder="1"/>
    <xf numFmtId="0" fontId="0" fillId="18" borderId="0" xfId="0" applyFill="1" applyAlignment="1">
      <alignment horizontal="center" vertical="center" shrinkToFit="1"/>
    </xf>
    <xf numFmtId="0" fontId="0" fillId="18" borderId="32" xfId="0" applyFill="1" applyBorder="1"/>
    <xf numFmtId="0" fontId="0" fillId="18" borderId="0" xfId="0" applyFill="1"/>
    <xf numFmtId="0" fontId="8" fillId="21" borderId="26" xfId="0" applyFont="1" applyFill="1" applyBorder="1" applyAlignment="1" applyProtection="1">
      <alignment horizontal="center" vertical="center"/>
      <protection locked="0"/>
    </xf>
    <xf numFmtId="0" fontId="8" fillId="21" borderId="22" xfId="0" applyFont="1" applyFill="1" applyBorder="1" applyAlignment="1" applyProtection="1">
      <alignment horizontal="center" vertical="center"/>
      <protection locked="0"/>
    </xf>
    <xf numFmtId="0" fontId="8" fillId="21" borderId="27" xfId="0" applyFont="1" applyFill="1" applyBorder="1" applyAlignment="1" applyProtection="1">
      <alignment horizontal="center" vertical="center"/>
      <protection locked="0"/>
    </xf>
    <xf numFmtId="0" fontId="8" fillId="21" borderId="16" xfId="0" applyFont="1" applyFill="1" applyBorder="1" applyAlignment="1" applyProtection="1">
      <alignment horizontal="center" vertical="center"/>
      <protection locked="0"/>
    </xf>
    <xf numFmtId="0" fontId="8" fillId="21" borderId="21" xfId="0" applyFont="1" applyFill="1" applyBorder="1" applyAlignment="1" applyProtection="1">
      <alignment horizontal="center" vertical="center"/>
      <protection locked="0"/>
    </xf>
    <xf numFmtId="0" fontId="8" fillId="21" borderId="15" xfId="0" applyFont="1" applyFill="1" applyBorder="1" applyAlignment="1" applyProtection="1">
      <alignment horizontal="center" vertical="center"/>
      <protection locked="0"/>
    </xf>
    <xf numFmtId="0" fontId="17" fillId="21" borderId="1" xfId="0" applyFont="1" applyFill="1" applyBorder="1" applyAlignment="1" applyProtection="1">
      <alignment horizontal="center" vertical="center"/>
      <protection locked="0"/>
    </xf>
    <xf numFmtId="0" fontId="17" fillId="8" borderId="2" xfId="0" applyFont="1" applyFill="1" applyBorder="1" applyAlignment="1" applyProtection="1">
      <alignment horizontal="center" vertical="center"/>
      <protection locked="0"/>
    </xf>
    <xf numFmtId="0" fontId="17" fillId="10" borderId="2" xfId="0" applyFont="1" applyFill="1" applyBorder="1" applyAlignment="1" applyProtection="1">
      <alignment horizontal="center" vertical="center"/>
      <protection locked="0"/>
    </xf>
    <xf numFmtId="0" fontId="17" fillId="11" borderId="2" xfId="0" applyFont="1" applyFill="1" applyBorder="1" applyAlignment="1" applyProtection="1">
      <alignment horizontal="center" vertical="center"/>
      <protection locked="0"/>
    </xf>
    <xf numFmtId="0" fontId="17" fillId="12" borderId="2" xfId="0" applyFont="1" applyFill="1" applyBorder="1" applyAlignment="1" applyProtection="1">
      <alignment horizontal="center" vertical="center"/>
      <protection locked="0"/>
    </xf>
    <xf numFmtId="0" fontId="6" fillId="9" borderId="14" xfId="0" applyFont="1" applyFill="1" applyBorder="1" applyAlignment="1" applyProtection="1">
      <alignment horizontal="center" vertical="center" textRotation="90"/>
      <protection locked="0"/>
    </xf>
    <xf numFmtId="0" fontId="6" fillId="9" borderId="12" xfId="0" applyFont="1" applyFill="1" applyBorder="1" applyAlignment="1" applyProtection="1">
      <alignment horizontal="center" vertical="center" textRotation="90"/>
      <protection locked="0"/>
    </xf>
    <xf numFmtId="0" fontId="6" fillId="9" borderId="10" xfId="0" applyFont="1" applyFill="1" applyBorder="1" applyAlignment="1" applyProtection="1">
      <alignment horizontal="center" vertical="center" textRotation="90"/>
      <protection locked="0"/>
    </xf>
    <xf numFmtId="0" fontId="6" fillId="9" borderId="9" xfId="0" applyFont="1" applyFill="1" applyBorder="1" applyAlignment="1" applyProtection="1">
      <alignment horizontal="center" vertical="center" textRotation="90"/>
      <protection locked="0"/>
    </xf>
    <xf numFmtId="0" fontId="6" fillId="9" borderId="11" xfId="0" applyFont="1" applyFill="1" applyBorder="1" applyAlignment="1" applyProtection="1">
      <alignment horizontal="center" vertical="center" textRotation="90"/>
      <protection locked="0"/>
    </xf>
    <xf numFmtId="0" fontId="6" fillId="9" borderId="13" xfId="0" applyFont="1" applyFill="1" applyBorder="1" applyAlignment="1" applyProtection="1">
      <alignment horizontal="center" vertical="center" textRotation="90"/>
      <protection locked="0"/>
    </xf>
    <xf numFmtId="0" fontId="17" fillId="21" borderId="25" xfId="0" applyFont="1" applyFill="1" applyBorder="1" applyAlignment="1" applyProtection="1">
      <alignment horizontal="center" vertical="center"/>
      <protection locked="0"/>
    </xf>
    <xf numFmtId="0" fontId="17" fillId="5" borderId="2" xfId="0" applyFont="1" applyFill="1" applyBorder="1" applyAlignment="1" applyProtection="1">
      <alignment horizontal="center" vertical="center"/>
      <protection locked="0"/>
    </xf>
    <xf numFmtId="0" fontId="7" fillId="9" borderId="14" xfId="0" applyFont="1" applyFill="1" applyBorder="1" applyAlignment="1" applyProtection="1">
      <alignment horizontal="center" vertical="center" textRotation="90"/>
      <protection locked="0"/>
    </xf>
    <xf numFmtId="0" fontId="7" fillId="9" borderId="12" xfId="0" applyFont="1" applyFill="1" applyBorder="1" applyAlignment="1" applyProtection="1">
      <alignment horizontal="center" vertical="center" textRotation="90"/>
      <protection locked="0"/>
    </xf>
    <xf numFmtId="0" fontId="7" fillId="9" borderId="10" xfId="0" applyFont="1" applyFill="1" applyBorder="1" applyAlignment="1" applyProtection="1">
      <alignment horizontal="center" vertical="center" textRotation="90"/>
      <protection locked="0"/>
    </xf>
    <xf numFmtId="0" fontId="7" fillId="9" borderId="9" xfId="0" applyFont="1" applyFill="1" applyBorder="1" applyAlignment="1" applyProtection="1">
      <alignment horizontal="center" vertical="center" textRotation="90"/>
      <protection locked="0"/>
    </xf>
    <xf numFmtId="0" fontId="7" fillId="9" borderId="11" xfId="0" applyFont="1" applyFill="1" applyBorder="1" applyAlignment="1" applyProtection="1">
      <alignment horizontal="center" vertical="center" textRotation="90"/>
      <protection locked="0"/>
    </xf>
    <xf numFmtId="0" fontId="7" fillId="9" borderId="13" xfId="0" applyFont="1" applyFill="1" applyBorder="1" applyAlignment="1" applyProtection="1">
      <alignment horizontal="center" vertical="center" textRotation="90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2" xfId="0" applyFont="1" applyFill="1" applyBorder="1" applyAlignment="1" applyProtection="1">
      <alignment horizontal="center" vertical="center"/>
      <protection locked="0"/>
    </xf>
    <xf numFmtId="0" fontId="2" fillId="10" borderId="1" xfId="0" applyFont="1" applyFill="1" applyBorder="1" applyAlignment="1" applyProtection="1">
      <alignment horizontal="center" vertical="center"/>
      <protection locked="0"/>
    </xf>
    <xf numFmtId="0" fontId="2" fillId="10" borderId="2" xfId="0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 applyProtection="1">
      <alignment horizontal="center" vertical="center"/>
      <protection locked="0"/>
    </xf>
    <xf numFmtId="0" fontId="2" fillId="11" borderId="2" xfId="0" applyFont="1" applyFill="1" applyBorder="1" applyAlignment="1" applyProtection="1">
      <alignment horizontal="center" vertical="center"/>
      <protection locked="0"/>
    </xf>
    <xf numFmtId="0" fontId="2" fillId="12" borderId="1" xfId="0" applyFont="1" applyFill="1" applyBorder="1" applyAlignment="1" applyProtection="1">
      <alignment horizontal="center" vertical="center"/>
      <protection locked="0"/>
    </xf>
    <xf numFmtId="0" fontId="2" fillId="12" borderId="2" xfId="0" applyFont="1" applyFill="1" applyBorder="1" applyAlignment="1" applyProtection="1">
      <alignment horizontal="center" vertical="center"/>
      <protection locked="0"/>
    </xf>
    <xf numFmtId="0" fontId="2" fillId="11" borderId="14" xfId="0" applyFont="1" applyFill="1" applyBorder="1" applyAlignment="1" applyProtection="1">
      <alignment horizontal="center" vertical="center"/>
      <protection locked="0"/>
    </xf>
    <xf numFmtId="0" fontId="2" fillId="11" borderId="12" xfId="0" applyFont="1" applyFill="1" applyBorder="1" applyAlignment="1" applyProtection="1">
      <alignment horizontal="center" vertical="center"/>
      <protection locked="0"/>
    </xf>
    <xf numFmtId="0" fontId="2" fillId="8" borderId="1" xfId="0" applyFont="1" applyFill="1" applyBorder="1" applyAlignment="1" applyProtection="1">
      <alignment horizontal="center" vertical="center"/>
      <protection locked="0"/>
    </xf>
    <xf numFmtId="0" fontId="2" fillId="8" borderId="2" xfId="0" applyFont="1" applyFill="1" applyBorder="1" applyAlignment="1" applyProtection="1">
      <alignment horizontal="center" vertical="center"/>
      <protection locked="0"/>
    </xf>
    <xf numFmtId="0" fontId="2" fillId="5" borderId="20" xfId="0" applyFont="1" applyFill="1" applyBorder="1" applyAlignment="1" applyProtection="1">
      <alignment horizontal="center" vertical="center"/>
      <protection locked="0"/>
    </xf>
    <xf numFmtId="0" fontId="2" fillId="5" borderId="19" xfId="0" applyFont="1" applyFill="1" applyBorder="1" applyAlignment="1" applyProtection="1">
      <alignment horizontal="center" vertical="center"/>
      <protection locked="0"/>
    </xf>
    <xf numFmtId="0" fontId="2" fillId="10" borderId="14" xfId="0" applyFont="1" applyFill="1" applyBorder="1" applyAlignment="1" applyProtection="1">
      <alignment horizontal="center" vertical="center"/>
      <protection locked="0"/>
    </xf>
    <xf numFmtId="0" fontId="2" fillId="10" borderId="12" xfId="0" applyFont="1" applyFill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  <color rgb="FFFECEF7"/>
      <color rgb="FFFF99FF"/>
      <color rgb="FFFF66FF"/>
      <color rgb="FF00FFFF"/>
      <color rgb="FFFFFF99"/>
      <color rgb="FFFFFFCC"/>
      <color rgb="FF66FF99"/>
      <color rgb="FFCCEC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4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25</xdr:row>
          <xdr:rowOff>0</xdr:rowOff>
        </xdr:from>
        <xdr:to>
          <xdr:col>0</xdr:col>
          <xdr:colOff>1962150</xdr:colOff>
          <xdr:row>27</xdr:row>
          <xdr:rowOff>0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2000250</xdr:colOff>
          <xdr:row>25</xdr:row>
          <xdr:rowOff>0</xdr:rowOff>
        </xdr:from>
        <xdr:to>
          <xdr:col>0</xdr:col>
          <xdr:colOff>2714625</xdr:colOff>
          <xdr:row>27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1025" name="TeamSearc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26" name="PoolSearch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190500</xdr:rowOff>
        </xdr:from>
        <xdr:to>
          <xdr:col>10</xdr:col>
          <xdr:colOff>0</xdr:colOff>
          <xdr:row>11</xdr:row>
          <xdr:rowOff>190500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</xdr:row>
          <xdr:rowOff>0</xdr:rowOff>
        </xdr:from>
        <xdr:to>
          <xdr:col>20</xdr:col>
          <xdr:colOff>0</xdr:colOff>
          <xdr:row>10</xdr:row>
          <xdr:rowOff>0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hyperlink" Target="mailto:jdvosstennis@gmail.com" TargetMode="External"/><Relationship Id="rId1" Type="http://schemas.openxmlformats.org/officeDocument/2006/relationships/hyperlink" Target="mailto:uccstennisclub@gmail.com" TargetMode="External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vmlDrawing" Target="../drawings/vmlDrawing2.vml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drawing" Target="../drawings/drawing2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D55EA-09BE-4820-BB00-65A9929FA594}">
  <sheetPr codeName="Sheet2">
    <tabColor rgb="FFCCFFFF"/>
  </sheetPr>
  <dimension ref="A1:F65"/>
  <sheetViews>
    <sheetView zoomScale="162" zoomScaleNormal="162" workbookViewId="0">
      <selection activeCell="B2" sqref="B2"/>
    </sheetView>
  </sheetViews>
  <sheetFormatPr defaultRowHeight="15" x14ac:dyDescent="0.25"/>
  <cols>
    <col min="2" max="2" width="31.5703125" customWidth="1"/>
    <col min="5" max="5" width="9.140625" hidden="1" customWidth="1"/>
    <col min="6" max="6" width="29.28515625" hidden="1" customWidth="1"/>
    <col min="7" max="7" width="9.140625" customWidth="1"/>
  </cols>
  <sheetData>
    <row r="1" spans="1:6" ht="24.95" customHeight="1" x14ac:dyDescent="0.25">
      <c r="A1" s="271" t="s">
        <v>9</v>
      </c>
      <c r="B1" s="271" t="s">
        <v>10</v>
      </c>
      <c r="C1" s="271" t="s">
        <v>11</v>
      </c>
      <c r="D1" s="270"/>
      <c r="E1" s="271" t="s">
        <v>16</v>
      </c>
      <c r="F1" s="271" t="s">
        <v>16</v>
      </c>
    </row>
    <row r="2" spans="1:6" x14ac:dyDescent="0.25">
      <c r="A2">
        <v>1</v>
      </c>
      <c r="B2" t="s">
        <v>137</v>
      </c>
      <c r="C2" t="s">
        <v>173</v>
      </c>
      <c r="E2" s="272" t="str">
        <f>IF(ISBLANK(B2),"",IF(COUNTIF('Teams in Pools'!$A$1:$H$24,B2)&gt;=1,"",ROW()))</f>
        <v/>
      </c>
      <c r="F2" s="272" t="str" cm="1">
        <f t="array" ref="F2">IF(ROW(B2)-ROW(B$2)+1&gt;COUNT($E$2:$E$65),"",IF(INDEX($B$2:$B$65,SMALL($E$2:$E$65,1+ROW(B2)-ROW(B$2))-1)=0,"",INDEX($B$2:$B$65,SMALL($E$2:$E$65,1+ROW(B2)-ROW(B$2))-1)))</f>
        <v/>
      </c>
    </row>
    <row r="3" spans="1:6" x14ac:dyDescent="0.25">
      <c r="A3">
        <v>2</v>
      </c>
      <c r="B3" t="s">
        <v>138</v>
      </c>
      <c r="C3" t="s">
        <v>174</v>
      </c>
      <c r="E3" s="272" t="str">
        <f>IF(ISBLANK(B3),"",IF(COUNTIF('Teams in Pools'!$A$1:$H$24,B3)&gt;=1,"",ROW()))</f>
        <v/>
      </c>
      <c r="F3" s="272" t="str" cm="1">
        <f t="array" ref="F3">IF(ROW(B3)-ROW(B$2)+1&gt;COUNT($E$2:$E$65),"",IF(INDEX($B$2:$B$65,SMALL($E$2:$E$65,1+ROW(B3)-ROW(B$2))-1)=0,"",INDEX($B$2:$B$65,SMALL($E$2:$E$65,1+ROW(B3)-ROW(B$2))-1)))</f>
        <v/>
      </c>
    </row>
    <row r="4" spans="1:6" x14ac:dyDescent="0.25">
      <c r="A4">
        <v>3</v>
      </c>
      <c r="B4" t="s">
        <v>139</v>
      </c>
      <c r="C4" t="s">
        <v>175</v>
      </c>
      <c r="E4" s="272" t="str">
        <f>IF(ISBLANK(B4),"",IF(COUNTIF('Teams in Pools'!$A$1:$H$24,B4)&gt;=1,"",ROW()))</f>
        <v/>
      </c>
      <c r="F4" s="272" t="str" cm="1">
        <f t="array" ref="F4">IF(ROW(B4)-ROW(B$2)+1&gt;COUNT($E$2:$E$65),"",IF(INDEX($B$2:$B$65,SMALL($E$2:$E$65,1+ROW(B4)-ROW(B$2))-1)=0,"",INDEX($B$2:$B$65,SMALL($E$2:$E$65,1+ROW(B4)-ROW(B$2))-1)))</f>
        <v/>
      </c>
    </row>
    <row r="5" spans="1:6" x14ac:dyDescent="0.25">
      <c r="A5">
        <v>4</v>
      </c>
      <c r="B5" t="s">
        <v>140</v>
      </c>
      <c r="C5" t="s">
        <v>176</v>
      </c>
      <c r="E5" s="272" t="str">
        <f>IF(ISBLANK(B5),"",IF(COUNTIF('Teams in Pools'!$A$1:$H$24,B5)&gt;=1,"",ROW()))</f>
        <v/>
      </c>
      <c r="F5" s="272" t="str" cm="1">
        <f t="array" ref="F5">IF(ROW(B5)-ROW(B$2)+1&gt;COUNT($E$2:$E$65),"",IF(INDEX($B$2:$B$65,SMALL($E$2:$E$65,1+ROW(B5)-ROW(B$2))-1)=0,"",INDEX($B$2:$B$65,SMALL($E$2:$E$65,1+ROW(B5)-ROW(B$2))-1)))</f>
        <v/>
      </c>
    </row>
    <row r="6" spans="1:6" x14ac:dyDescent="0.25">
      <c r="A6">
        <v>5</v>
      </c>
      <c r="B6" t="s">
        <v>141</v>
      </c>
      <c r="C6" t="s">
        <v>177</v>
      </c>
      <c r="E6" s="272" t="str">
        <f>IF(ISBLANK(B6),"",IF(COUNTIF('Teams in Pools'!$A$1:$H$24,B6)&gt;=1,"",ROW()))</f>
        <v/>
      </c>
      <c r="F6" s="272" t="str" cm="1">
        <f t="array" ref="F6">IF(ROW(B6)-ROW(B$2)+1&gt;COUNT($E$2:$E$65),"",IF(INDEX($B$2:$B$65,SMALL($E$2:$E$65,1+ROW(B6)-ROW(B$2))-1)=0,"",INDEX($B$2:$B$65,SMALL($E$2:$E$65,1+ROW(B6)-ROW(B$2))-1)))</f>
        <v/>
      </c>
    </row>
    <row r="7" spans="1:6" x14ac:dyDescent="0.25">
      <c r="A7">
        <v>6</v>
      </c>
      <c r="B7" t="s">
        <v>142</v>
      </c>
      <c r="C7" t="s">
        <v>178</v>
      </c>
      <c r="E7" s="272" t="str">
        <f>IF(ISBLANK(B7),"",IF(COUNTIF('Teams in Pools'!$A$1:$H$24,B7)&gt;=1,"",ROW()))</f>
        <v/>
      </c>
      <c r="F7" s="272" t="str" cm="1">
        <f t="array" ref="F7">IF(ROW(B7)-ROW(B$2)+1&gt;COUNT($E$2:$E$65),"",IF(INDEX($B$2:$B$65,SMALL($E$2:$E$65,1+ROW(B7)-ROW(B$2))-1)=0,"",INDEX($B$2:$B$65,SMALL($E$2:$E$65,1+ROW(B7)-ROW(B$2))-1)))</f>
        <v/>
      </c>
    </row>
    <row r="8" spans="1:6" x14ac:dyDescent="0.25">
      <c r="A8">
        <v>7</v>
      </c>
      <c r="B8" t="s">
        <v>143</v>
      </c>
      <c r="C8" t="s">
        <v>179</v>
      </c>
      <c r="E8" s="272" t="str">
        <f>IF(ISBLANK(B8),"",IF(COUNTIF('Teams in Pools'!$A$1:$H$24,B8)&gt;=1,"",ROW()))</f>
        <v/>
      </c>
      <c r="F8" s="272" t="str" cm="1">
        <f t="array" ref="F8">IF(ROW(B8)-ROW(B$2)+1&gt;COUNT($E$2:$E$65),"",IF(INDEX($B$2:$B$65,SMALL($E$2:$E$65,1+ROW(B8)-ROW(B$2))-1)=0,"",INDEX($B$2:$B$65,SMALL($E$2:$E$65,1+ROW(B8)-ROW(B$2))-1)))</f>
        <v/>
      </c>
    </row>
    <row r="9" spans="1:6" x14ac:dyDescent="0.25">
      <c r="A9">
        <v>8</v>
      </c>
      <c r="B9" t="s">
        <v>144</v>
      </c>
      <c r="C9" t="s">
        <v>180</v>
      </c>
      <c r="E9" s="272" t="str">
        <f>IF(ISBLANK(B9),"",IF(COUNTIF('Teams in Pools'!$A$1:$H$24,B9)&gt;=1,"",ROW()))</f>
        <v/>
      </c>
      <c r="F9" s="272" t="str" cm="1">
        <f t="array" ref="F9">IF(ROW(B9)-ROW(B$2)+1&gt;COUNT($E$2:$E$65),"",IF(INDEX($B$2:$B$65,SMALL($E$2:$E$65,1+ROW(B9)-ROW(B$2))-1)=0,"",INDEX($B$2:$B$65,SMALL($E$2:$E$65,1+ROW(B9)-ROW(B$2))-1)))</f>
        <v/>
      </c>
    </row>
    <row r="10" spans="1:6" x14ac:dyDescent="0.25">
      <c r="A10">
        <v>9</v>
      </c>
      <c r="B10" t="s">
        <v>145</v>
      </c>
      <c r="C10" t="s">
        <v>181</v>
      </c>
      <c r="E10" s="272" t="str">
        <f>IF(ISBLANK(B10),"",IF(COUNTIF('Teams in Pools'!$A$1:$H$24,B10)&gt;=1,"",ROW()))</f>
        <v/>
      </c>
      <c r="F10" s="272" t="str" cm="1">
        <f t="array" ref="F10">IF(ROW(B10)-ROW(B$2)+1&gt;COUNT($E$2:$E$65),"",IF(INDEX($B$2:$B$65,SMALL($E$2:$E$65,1+ROW(B10)-ROW(B$2))-1)=0,"",INDEX($B$2:$B$65,SMALL($E$2:$E$65,1+ROW(B10)-ROW(B$2))-1)))</f>
        <v/>
      </c>
    </row>
    <row r="11" spans="1:6" x14ac:dyDescent="0.25">
      <c r="A11">
        <v>10</v>
      </c>
      <c r="B11" t="s">
        <v>146</v>
      </c>
      <c r="C11" t="s">
        <v>182</v>
      </c>
      <c r="E11" s="272" t="str">
        <f>IF(ISBLANK(B11),"",IF(COUNTIF('Teams in Pools'!$A$1:$H$24,B11)&gt;=1,"",ROW()))</f>
        <v/>
      </c>
      <c r="F11" s="272" t="str" cm="1">
        <f t="array" ref="F11">IF(ROW(B11)-ROW(B$2)+1&gt;COUNT($E$2:$E$65),"",IF(INDEX($B$2:$B$65,SMALL($E$2:$E$65,1+ROW(B11)-ROW(B$2))-1)=0,"",INDEX($B$2:$B$65,SMALL($E$2:$E$65,1+ROW(B11)-ROW(B$2))-1)))</f>
        <v/>
      </c>
    </row>
    <row r="12" spans="1:6" x14ac:dyDescent="0.25">
      <c r="A12">
        <v>11</v>
      </c>
      <c r="B12" t="s">
        <v>147</v>
      </c>
      <c r="C12" t="s">
        <v>183</v>
      </c>
      <c r="E12" s="272" t="str">
        <f>IF(ISBLANK(B12),"",IF(COUNTIF('Teams in Pools'!$A$1:$H$24,B12)&gt;=1,"",ROW()))</f>
        <v/>
      </c>
      <c r="F12" s="272" t="str" cm="1">
        <f t="array" ref="F12">IF(ROW(B12)-ROW(B$2)+1&gt;COUNT($E$2:$E$65),"",IF(INDEX($B$2:$B$65,SMALL($E$2:$E$65,1+ROW(B12)-ROW(B$2))-1)=0,"",INDEX($B$2:$B$65,SMALL($E$2:$E$65,1+ROW(B12)-ROW(B$2))-1)))</f>
        <v/>
      </c>
    </row>
    <row r="13" spans="1:6" x14ac:dyDescent="0.25">
      <c r="A13">
        <v>12</v>
      </c>
      <c r="B13" t="s">
        <v>148</v>
      </c>
      <c r="C13" t="s">
        <v>184</v>
      </c>
      <c r="E13" s="272" t="str">
        <f>IF(ISBLANK(B13),"",IF(COUNTIF('Teams in Pools'!$A$1:$H$24,B13)&gt;=1,"",ROW()))</f>
        <v/>
      </c>
      <c r="F13" s="272" t="str" cm="1">
        <f t="array" ref="F13">IF(ROW(B13)-ROW(B$2)+1&gt;COUNT($E$2:$E$65),"",IF(INDEX($B$2:$B$65,SMALL($E$2:$E$65,1+ROW(B13)-ROW(B$2))-1)=0,"",INDEX($B$2:$B$65,SMALL($E$2:$E$65,1+ROW(B13)-ROW(B$2))-1)))</f>
        <v/>
      </c>
    </row>
    <row r="14" spans="1:6" x14ac:dyDescent="0.25">
      <c r="A14">
        <v>13</v>
      </c>
      <c r="B14" t="s">
        <v>149</v>
      </c>
      <c r="C14" t="s">
        <v>185</v>
      </c>
      <c r="E14" s="272" t="str">
        <f>IF(ISBLANK(B14),"",IF(COUNTIF('Teams in Pools'!$A$1:$H$24,B14)&gt;=1,"",ROW()))</f>
        <v/>
      </c>
      <c r="F14" s="272" t="str" cm="1">
        <f t="array" ref="F14">IF(ROW(B14)-ROW(B$2)+1&gt;COUNT($E$2:$E$65),"",IF(INDEX($B$2:$B$65,SMALL($E$2:$E$65,1+ROW(B14)-ROW(B$2))-1)=0,"",INDEX($B$2:$B$65,SMALL($E$2:$E$65,1+ROW(B14)-ROW(B$2))-1)))</f>
        <v/>
      </c>
    </row>
    <row r="15" spans="1:6" x14ac:dyDescent="0.25">
      <c r="A15">
        <v>14</v>
      </c>
      <c r="B15" t="s">
        <v>150</v>
      </c>
      <c r="C15" t="s">
        <v>186</v>
      </c>
      <c r="E15" s="272" t="str">
        <f>IF(ISBLANK(B15),"",IF(COUNTIF('Teams in Pools'!$A$1:$H$24,B15)&gt;=1,"",ROW()))</f>
        <v/>
      </c>
      <c r="F15" s="272" t="str" cm="1">
        <f t="array" ref="F15">IF(ROW(B15)-ROW(B$2)+1&gt;COUNT($E$2:$E$65),"",IF(INDEX($B$2:$B$65,SMALL($E$2:$E$65,1+ROW(B15)-ROW(B$2))-1)=0,"",INDEX($B$2:$B$65,SMALL($E$2:$E$65,1+ROW(B15)-ROW(B$2))-1)))</f>
        <v/>
      </c>
    </row>
    <row r="16" spans="1:6" x14ac:dyDescent="0.25">
      <c r="A16">
        <v>15</v>
      </c>
      <c r="B16" t="s">
        <v>151</v>
      </c>
      <c r="C16" t="s">
        <v>187</v>
      </c>
      <c r="E16" s="272" t="str">
        <f>IF(ISBLANK(B16),"",IF(COUNTIF('Teams in Pools'!$A$1:$H$24,B16)&gt;=1,"",ROW()))</f>
        <v/>
      </c>
      <c r="F16" s="272" t="str" cm="1">
        <f t="array" ref="F16">IF(ROW(B16)-ROW(B$2)+1&gt;COUNT($E$2:$E$65),"",IF(INDEX($B$2:$B$65,SMALL($E$2:$E$65,1+ROW(B16)-ROW(B$2))-1)=0,"",INDEX($B$2:$B$65,SMALL($E$2:$E$65,1+ROW(B16)-ROW(B$2))-1)))</f>
        <v/>
      </c>
    </row>
    <row r="17" spans="1:6" x14ac:dyDescent="0.25">
      <c r="A17">
        <v>16</v>
      </c>
      <c r="B17" t="s">
        <v>152</v>
      </c>
      <c r="C17" t="s">
        <v>188</v>
      </c>
      <c r="E17" s="272" t="str">
        <f>IF(ISBLANK(B17),"",IF(COUNTIF('Teams in Pools'!$A$1:$H$24,B17)&gt;=1,"",ROW()))</f>
        <v/>
      </c>
      <c r="F17" s="272" t="str" cm="1">
        <f t="array" ref="F17">IF(ROW(B17)-ROW(B$2)+1&gt;COUNT($E$2:$E$65),"",IF(INDEX($B$2:$B$65,SMALL($E$2:$E$65,1+ROW(B17)-ROW(B$2))-1)=0,"",INDEX($B$2:$B$65,SMALL($E$2:$E$65,1+ROW(B17)-ROW(B$2))-1)))</f>
        <v/>
      </c>
    </row>
    <row r="18" spans="1:6" x14ac:dyDescent="0.25">
      <c r="A18">
        <v>17</v>
      </c>
      <c r="B18" t="s">
        <v>153</v>
      </c>
      <c r="C18" t="s">
        <v>189</v>
      </c>
      <c r="E18" s="272" t="str">
        <f>IF(ISBLANK(B18),"",IF(COUNTIF('Teams in Pools'!$A$1:$H$24,B18)&gt;=1,"",ROW()))</f>
        <v/>
      </c>
      <c r="F18" s="272" t="str" cm="1">
        <f t="array" ref="F18">IF(ROW(B18)-ROW(B$2)+1&gt;COUNT($E$2:$E$65),"",IF(INDEX($B$2:$B$65,SMALL($E$2:$E$65,1+ROW(B18)-ROW(B$2))-1)=0,"",INDEX($B$2:$B$65,SMALL($E$2:$E$65,1+ROW(B18)-ROW(B$2))-1)))</f>
        <v/>
      </c>
    </row>
    <row r="19" spans="1:6" x14ac:dyDescent="0.25">
      <c r="A19">
        <v>18</v>
      </c>
      <c r="B19" t="s">
        <v>154</v>
      </c>
      <c r="C19" t="s">
        <v>190</v>
      </c>
      <c r="E19" s="272" t="str">
        <f>IF(ISBLANK(B19),"",IF(COUNTIF('Teams in Pools'!$A$1:$H$24,B19)&gt;=1,"",ROW()))</f>
        <v/>
      </c>
      <c r="F19" s="272" t="str" cm="1">
        <f t="array" ref="F19">IF(ROW(B19)-ROW(B$2)+1&gt;COUNT($E$2:$E$65),"",IF(INDEX($B$2:$B$65,SMALL($E$2:$E$65,1+ROW(B19)-ROW(B$2))-1)=0,"",INDEX($B$2:$B$65,SMALL($E$2:$E$65,1+ROW(B19)-ROW(B$2))-1)))</f>
        <v/>
      </c>
    </row>
    <row r="20" spans="1:6" x14ac:dyDescent="0.25">
      <c r="A20">
        <v>19</v>
      </c>
      <c r="B20" t="s">
        <v>155</v>
      </c>
      <c r="C20" t="s">
        <v>191</v>
      </c>
      <c r="E20" s="272" t="str">
        <f>IF(ISBLANK(B20),"",IF(COUNTIF('Teams in Pools'!$A$1:$H$24,B20)&gt;=1,"",ROW()))</f>
        <v/>
      </c>
      <c r="F20" s="272" t="str" cm="1">
        <f t="array" ref="F20">IF(ROW(B20)-ROW(B$2)+1&gt;COUNT($E$2:$E$65),"",IF(INDEX($B$2:$B$65,SMALL($E$2:$E$65,1+ROW(B20)-ROW(B$2))-1)=0,"",INDEX($B$2:$B$65,SMALL($E$2:$E$65,1+ROW(B20)-ROW(B$2))-1)))</f>
        <v/>
      </c>
    </row>
    <row r="21" spans="1:6" x14ac:dyDescent="0.25">
      <c r="A21">
        <v>20</v>
      </c>
      <c r="B21" t="s">
        <v>156</v>
      </c>
      <c r="C21" t="s">
        <v>192</v>
      </c>
      <c r="E21" s="272" t="str">
        <f>IF(ISBLANK(B21),"",IF(COUNTIF('Teams in Pools'!$A$1:$H$24,B21)&gt;=1,"",ROW()))</f>
        <v/>
      </c>
      <c r="F21" s="272" t="str" cm="1">
        <f t="array" ref="F21">IF(ROW(B21)-ROW(B$2)+1&gt;COUNT($E$2:$E$65),"",IF(INDEX($B$2:$B$65,SMALL($E$2:$E$65,1+ROW(B21)-ROW(B$2))-1)=0,"",INDEX($B$2:$B$65,SMALL($E$2:$E$65,1+ROW(B21)-ROW(B$2))-1)))</f>
        <v/>
      </c>
    </row>
    <row r="22" spans="1:6" x14ac:dyDescent="0.25">
      <c r="A22">
        <v>21</v>
      </c>
      <c r="B22" t="s">
        <v>157</v>
      </c>
      <c r="C22" t="s">
        <v>193</v>
      </c>
      <c r="E22" s="272" t="str">
        <f>IF(ISBLANK(B22),"",IF(COUNTIF('Teams in Pools'!$A$1:$H$24,B22)&gt;=1,"",ROW()))</f>
        <v/>
      </c>
      <c r="F22" s="272" t="str" cm="1">
        <f t="array" ref="F22">IF(ROW(B22)-ROW(B$2)+1&gt;COUNT($E$2:$E$65),"",IF(INDEX($B$2:$B$65,SMALL($E$2:$E$65,1+ROW(B22)-ROW(B$2))-1)=0,"",INDEX($B$2:$B$65,SMALL($E$2:$E$65,1+ROW(B22)-ROW(B$2))-1)))</f>
        <v/>
      </c>
    </row>
    <row r="23" spans="1:6" x14ac:dyDescent="0.25">
      <c r="A23">
        <v>22</v>
      </c>
      <c r="B23" t="s">
        <v>158</v>
      </c>
      <c r="C23" t="s">
        <v>194</v>
      </c>
      <c r="E23" s="272" t="str">
        <f>IF(ISBLANK(B23),"",IF(COUNTIF('Teams in Pools'!$A$1:$H$24,B23)&gt;=1,"",ROW()))</f>
        <v/>
      </c>
      <c r="F23" s="272" t="str" cm="1">
        <f t="array" ref="F23">IF(ROW(B23)-ROW(B$2)+1&gt;COUNT($E$2:$E$65),"",IF(INDEX($B$2:$B$65,SMALL($E$2:$E$65,1+ROW(B23)-ROW(B$2))-1)=0,"",INDEX($B$2:$B$65,SMALL($E$2:$E$65,1+ROW(B23)-ROW(B$2))-1)))</f>
        <v/>
      </c>
    </row>
    <row r="24" spans="1:6" x14ac:dyDescent="0.25">
      <c r="A24">
        <v>23</v>
      </c>
      <c r="B24" t="s">
        <v>159</v>
      </c>
      <c r="C24" t="s">
        <v>195</v>
      </c>
      <c r="E24" s="272" t="str">
        <f>IF(ISBLANK(B24),"",IF(COUNTIF('Teams in Pools'!$A$1:$H$24,B24)&gt;=1,"",ROW()))</f>
        <v/>
      </c>
      <c r="F24" s="272" t="str" cm="1">
        <f t="array" ref="F24">IF(ROW(B24)-ROW(B$2)+1&gt;COUNT($E$2:$E$65),"",IF(INDEX($B$2:$B$65,SMALL($E$2:$E$65,1+ROW(B24)-ROW(B$2))-1)=0,"",INDEX($B$2:$B$65,SMALL($E$2:$E$65,1+ROW(B24)-ROW(B$2))-1)))</f>
        <v/>
      </c>
    </row>
    <row r="25" spans="1:6" x14ac:dyDescent="0.25">
      <c r="A25">
        <v>24</v>
      </c>
      <c r="B25" t="s">
        <v>160</v>
      </c>
      <c r="C25" t="s">
        <v>196</v>
      </c>
      <c r="E25" s="272" t="str">
        <f>IF(ISBLANK(B25),"",IF(COUNTIF('Teams in Pools'!$A$1:$H$24,B25)&gt;=1,"",ROW()))</f>
        <v/>
      </c>
      <c r="F25" s="272" t="str" cm="1">
        <f t="array" ref="F25">IF(ROW(B25)-ROW(B$2)+1&gt;COUNT($E$2:$E$65),"",IF(INDEX($B$2:$B$65,SMALL($E$2:$E$65,1+ROW(B25)-ROW(B$2))-1)=0,"",INDEX($B$2:$B$65,SMALL($E$2:$E$65,1+ROW(B25)-ROW(B$2))-1)))</f>
        <v/>
      </c>
    </row>
    <row r="26" spans="1:6" x14ac:dyDescent="0.25">
      <c r="A26">
        <v>25</v>
      </c>
      <c r="B26" t="s">
        <v>161</v>
      </c>
      <c r="C26" t="s">
        <v>197</v>
      </c>
      <c r="E26" s="272" t="str">
        <f>IF(ISBLANK(B26),"",IF(COUNTIF('Teams in Pools'!$A$1:$H$24,B26)&gt;=1,"",ROW()))</f>
        <v/>
      </c>
      <c r="F26" s="272" t="str" cm="1">
        <f t="array" ref="F26">IF(ROW(B26)-ROW(B$2)+1&gt;COUNT($E$2:$E$65),"",IF(INDEX($B$2:$B$65,SMALL($E$2:$E$65,1+ROW(B26)-ROW(B$2))-1)=0,"",INDEX($B$2:$B$65,SMALL($E$2:$E$65,1+ROW(B26)-ROW(B$2))-1)))</f>
        <v/>
      </c>
    </row>
    <row r="27" spans="1:6" x14ac:dyDescent="0.25">
      <c r="A27">
        <v>26</v>
      </c>
      <c r="B27" t="s">
        <v>162</v>
      </c>
      <c r="C27" t="s">
        <v>198</v>
      </c>
      <c r="E27" s="272" t="str">
        <f>IF(ISBLANK(B27),"",IF(COUNTIF('Teams in Pools'!$A$1:$H$24,B27)&gt;=1,"",ROW()))</f>
        <v/>
      </c>
      <c r="F27" s="272" t="str" cm="1">
        <f t="array" ref="F27">IF(ROW(B27)-ROW(B$2)+1&gt;COUNT($E$2:$E$65),"",IF(INDEX($B$2:$B$65,SMALL($E$2:$E$65,1+ROW(B27)-ROW(B$2))-1)=0,"",INDEX($B$2:$B$65,SMALL($E$2:$E$65,1+ROW(B27)-ROW(B$2))-1)))</f>
        <v/>
      </c>
    </row>
    <row r="28" spans="1:6" x14ac:dyDescent="0.25">
      <c r="A28">
        <v>27</v>
      </c>
      <c r="B28" t="s">
        <v>163</v>
      </c>
      <c r="C28" t="s">
        <v>199</v>
      </c>
      <c r="E28" s="272" t="str">
        <f>IF(ISBLANK(B28),"",IF(COUNTIF('Teams in Pools'!$A$1:$H$24,B28)&gt;=1,"",ROW()))</f>
        <v/>
      </c>
      <c r="F28" s="272" t="str" cm="1">
        <f t="array" ref="F28">IF(ROW(B28)-ROW(B$2)+1&gt;COUNT($E$2:$E$65),"",IF(INDEX($B$2:$B$65,SMALL($E$2:$E$65,1+ROW(B28)-ROW(B$2))-1)=0,"",INDEX($B$2:$B$65,SMALL($E$2:$E$65,1+ROW(B28)-ROW(B$2))-1)))</f>
        <v/>
      </c>
    </row>
    <row r="29" spans="1:6" x14ac:dyDescent="0.25">
      <c r="A29">
        <v>28</v>
      </c>
      <c r="B29" t="s">
        <v>164</v>
      </c>
      <c r="C29" t="s">
        <v>200</v>
      </c>
      <c r="E29" s="272" t="str">
        <f>IF(ISBLANK(B29),"",IF(COUNTIF('Teams in Pools'!$A$1:$H$24,B29)&gt;=1,"",ROW()))</f>
        <v/>
      </c>
      <c r="F29" s="272" t="str" cm="1">
        <f t="array" ref="F29">IF(ROW(B29)-ROW(B$2)+1&gt;COUNT($E$2:$E$65),"",IF(INDEX($B$2:$B$65,SMALL($E$2:$E$65,1+ROW(B29)-ROW(B$2))-1)=0,"",INDEX($B$2:$B$65,SMALL($E$2:$E$65,1+ROW(B29)-ROW(B$2))-1)))</f>
        <v/>
      </c>
    </row>
    <row r="30" spans="1:6" x14ac:dyDescent="0.25">
      <c r="A30">
        <v>29</v>
      </c>
      <c r="B30" t="s">
        <v>165</v>
      </c>
      <c r="C30" t="s">
        <v>201</v>
      </c>
      <c r="E30" s="272" t="str">
        <f>IF(ISBLANK(B30),"",IF(COUNTIF('Teams in Pools'!$A$1:$H$24,B30)&gt;=1,"",ROW()))</f>
        <v/>
      </c>
      <c r="F30" s="272" t="str" cm="1">
        <f t="array" ref="F30">IF(ROW(B30)-ROW(B$2)+1&gt;COUNT($E$2:$E$65),"",IF(INDEX($B$2:$B$65,SMALL($E$2:$E$65,1+ROW(B30)-ROW(B$2))-1)=0,"",INDEX($B$2:$B$65,SMALL($E$2:$E$65,1+ROW(B30)-ROW(B$2))-1)))</f>
        <v/>
      </c>
    </row>
    <row r="31" spans="1:6" x14ac:dyDescent="0.25">
      <c r="A31">
        <v>30</v>
      </c>
      <c r="B31" t="s">
        <v>166</v>
      </c>
      <c r="C31" t="s">
        <v>202</v>
      </c>
      <c r="E31" s="272" t="str">
        <f>IF(ISBLANK(B31),"",IF(COUNTIF('Teams in Pools'!$A$1:$H$24,B31)&gt;=1,"",ROW()))</f>
        <v/>
      </c>
      <c r="F31" s="272" t="str" cm="1">
        <f t="array" ref="F31">IF(ROW(B31)-ROW(B$2)+1&gt;COUNT($E$2:$E$65),"",IF(INDEX($B$2:$B$65,SMALL($E$2:$E$65,1+ROW(B31)-ROW(B$2))-1)=0,"",INDEX($B$2:$B$65,SMALL($E$2:$E$65,1+ROW(B31)-ROW(B$2))-1)))</f>
        <v/>
      </c>
    </row>
    <row r="32" spans="1:6" x14ac:dyDescent="0.25">
      <c r="A32">
        <v>31</v>
      </c>
      <c r="B32" t="s">
        <v>167</v>
      </c>
      <c r="C32" t="s">
        <v>203</v>
      </c>
      <c r="E32" s="272" t="str">
        <f>IF(ISBLANK(B32),"",IF(COUNTIF('Teams in Pools'!$A$1:$H$24,B32)&gt;=1,"",ROW()))</f>
        <v/>
      </c>
      <c r="F32" s="272" t="str" cm="1">
        <f t="array" ref="F32">IF(ROW(B32)-ROW(B$2)+1&gt;COUNT($E$2:$E$65),"",IF(INDEX($B$2:$B$65,SMALL($E$2:$E$65,1+ROW(B32)-ROW(B$2))-1)=0,"",INDEX($B$2:$B$65,SMALL($E$2:$E$65,1+ROW(B32)-ROW(B$2))-1)))</f>
        <v/>
      </c>
    </row>
    <row r="33" spans="1:6" x14ac:dyDescent="0.25">
      <c r="A33">
        <v>32</v>
      </c>
      <c r="B33" t="s">
        <v>168</v>
      </c>
      <c r="C33" t="s">
        <v>204</v>
      </c>
      <c r="E33" s="272" t="str">
        <f>IF(ISBLANK(B33),"",IF(COUNTIF('Teams in Pools'!$A$1:$H$24,B33)&gt;=1,"",ROW()))</f>
        <v/>
      </c>
      <c r="F33" s="272" t="str" cm="1">
        <f t="array" ref="F33">IF(ROW(B33)-ROW(B$2)+1&gt;COUNT($E$2:$E$65),"",IF(INDEX($B$2:$B$65,SMALL($E$2:$E$65,1+ROW(B33)-ROW(B$2))-1)=0,"",INDEX($B$2:$B$65,SMALL($E$2:$E$65,1+ROW(B33)-ROW(B$2))-1)))</f>
        <v/>
      </c>
    </row>
    <row r="34" spans="1:6" x14ac:dyDescent="0.25">
      <c r="A34">
        <v>33</v>
      </c>
      <c r="B34" t="s">
        <v>169</v>
      </c>
      <c r="C34" t="s">
        <v>205</v>
      </c>
      <c r="E34" s="272" t="str">
        <f>IF(ISBLANK(B34),"",IF(COUNTIF('Teams in Pools'!$A$1:$H$24,B34)&gt;=1,"",ROW()))</f>
        <v/>
      </c>
      <c r="F34" s="272" t="str" cm="1">
        <f t="array" ref="F34">IF(ROW(B34)-ROW(B$2)+1&gt;COUNT($E$2:$E$65),"",IF(INDEX($B$2:$B$65,SMALL($E$2:$E$65,1+ROW(B34)-ROW(B$2))-1)=0,"",INDEX($B$2:$B$65,SMALL($E$2:$E$65,1+ROW(B34)-ROW(B$2))-1)))</f>
        <v/>
      </c>
    </row>
    <row r="35" spans="1:6" x14ac:dyDescent="0.25">
      <c r="A35">
        <v>34</v>
      </c>
      <c r="B35" t="s">
        <v>170</v>
      </c>
      <c r="C35" t="s">
        <v>206</v>
      </c>
      <c r="E35" s="272" t="str">
        <f>IF(ISBLANK(B35),"",IF(COUNTIF('Teams in Pools'!$A$1:$H$24,B35)&gt;=1,"",ROW()))</f>
        <v/>
      </c>
      <c r="F35" s="272" t="str" cm="1">
        <f t="array" ref="F35">IF(ROW(B35)-ROW(B$2)+1&gt;COUNT($E$2:$E$65),"",IF(INDEX($B$2:$B$65,SMALL($E$2:$E$65,1+ROW(B35)-ROW(B$2))-1)=0,"",INDEX($B$2:$B$65,SMALL($E$2:$E$65,1+ROW(B35)-ROW(B$2))-1)))</f>
        <v/>
      </c>
    </row>
    <row r="36" spans="1:6" x14ac:dyDescent="0.25">
      <c r="A36">
        <v>35</v>
      </c>
      <c r="B36" t="s">
        <v>171</v>
      </c>
      <c r="C36" t="s">
        <v>207</v>
      </c>
      <c r="E36" s="272" t="str">
        <f>IF(ISBLANK(B36),"",IF(COUNTIF('Teams in Pools'!$A$1:$H$24,B36)&gt;=1,"",ROW()))</f>
        <v/>
      </c>
      <c r="F36" s="272" t="str" cm="1">
        <f t="array" ref="F36">IF(ROW(B36)-ROW(B$2)+1&gt;COUNT($E$2:$E$65),"",IF(INDEX($B$2:$B$65,SMALL($E$2:$E$65,1+ROW(B36)-ROW(B$2))-1)=0,"",INDEX($B$2:$B$65,SMALL($E$2:$E$65,1+ROW(B36)-ROW(B$2))-1)))</f>
        <v/>
      </c>
    </row>
    <row r="37" spans="1:6" x14ac:dyDescent="0.25">
      <c r="A37">
        <v>36</v>
      </c>
      <c r="B37" t="s">
        <v>172</v>
      </c>
      <c r="C37" t="s">
        <v>208</v>
      </c>
      <c r="E37" s="272" t="str">
        <f>IF(ISBLANK(B37),"",IF(COUNTIF('Teams in Pools'!$A$1:$H$24,B37)&gt;=1,"",ROW()))</f>
        <v/>
      </c>
      <c r="F37" s="272" t="str" cm="1">
        <f t="array" ref="F37">IF(ROW(B37)-ROW(B$2)+1&gt;COUNT($E$2:$E$65),"",IF(INDEX($B$2:$B$65,SMALL($E$2:$E$65,1+ROW(B37)-ROW(B$2))-1)=0,"",INDEX($B$2:$B$65,SMALL($E$2:$E$65,1+ROW(B37)-ROW(B$2))-1)))</f>
        <v/>
      </c>
    </row>
    <row r="38" spans="1:6" x14ac:dyDescent="0.25">
      <c r="A38">
        <v>37</v>
      </c>
      <c r="E38" s="272" t="str">
        <f>IF(ISBLANK(B38),"",IF(COUNTIF('Teams in Pools'!$A$1:$H$24,B38)&gt;=1,"",ROW()))</f>
        <v/>
      </c>
      <c r="F38" s="272" t="str" cm="1">
        <f t="array" ref="F38">IF(ROW(B38)-ROW(B$2)+1&gt;COUNT($E$2:$E$65),"",IF(INDEX($B$2:$B$65,SMALL($E$2:$E$65,1+ROW(B38)-ROW(B$2))-1)=0,"",INDEX($B$2:$B$65,SMALL($E$2:$E$65,1+ROW(B38)-ROW(B$2))-1)))</f>
        <v/>
      </c>
    </row>
    <row r="39" spans="1:6" x14ac:dyDescent="0.25">
      <c r="A39">
        <v>38</v>
      </c>
      <c r="E39" s="272" t="str">
        <f>IF(ISBLANK(B39),"",IF(COUNTIF('Teams in Pools'!$A$1:$H$24,B39)&gt;=1,"",ROW()))</f>
        <v/>
      </c>
      <c r="F39" s="272" t="str" cm="1">
        <f t="array" ref="F39">IF(ROW(B39)-ROW(B$2)+1&gt;COUNT($E$2:$E$65),"",IF(INDEX($B$2:$B$65,SMALL($E$2:$E$65,1+ROW(B39)-ROW(B$2))-1)=0,"",INDEX($B$2:$B$65,SMALL($E$2:$E$65,1+ROW(B39)-ROW(B$2))-1)))</f>
        <v/>
      </c>
    </row>
    <row r="40" spans="1:6" x14ac:dyDescent="0.25">
      <c r="A40">
        <v>39</v>
      </c>
      <c r="E40" s="272" t="str">
        <f>IF(ISBLANK(B40),"",IF(COUNTIF('Teams in Pools'!$A$1:$H$24,B40)&gt;=1,"",ROW()))</f>
        <v/>
      </c>
      <c r="F40" s="272" t="str" cm="1">
        <f t="array" ref="F40">IF(ROW(B40)-ROW(B$2)+1&gt;COUNT($E$2:$E$65),"",IF(INDEX($B$2:$B$65,SMALL($E$2:$E$65,1+ROW(B40)-ROW(B$2))-1)=0,"",INDEX($B$2:$B$65,SMALL($E$2:$E$65,1+ROW(B40)-ROW(B$2))-1)))</f>
        <v/>
      </c>
    </row>
    <row r="41" spans="1:6" x14ac:dyDescent="0.25">
      <c r="A41">
        <v>40</v>
      </c>
      <c r="E41" s="272" t="str">
        <f>IF(ISBLANK(B41),"",IF(COUNTIF('Teams in Pools'!$A$1:$H$24,B41)&gt;=1,"",ROW()))</f>
        <v/>
      </c>
      <c r="F41" s="272" t="str" cm="1">
        <f t="array" ref="F41">IF(ROW(B41)-ROW(B$2)+1&gt;COUNT($E$2:$E$65),"",IF(INDEX($B$2:$B$65,SMALL($E$2:$E$65,1+ROW(B41)-ROW(B$2))-1)=0,"",INDEX($B$2:$B$65,SMALL($E$2:$E$65,1+ROW(B41)-ROW(B$2))-1)))</f>
        <v/>
      </c>
    </row>
    <row r="42" spans="1:6" x14ac:dyDescent="0.25">
      <c r="A42">
        <v>41</v>
      </c>
      <c r="E42" s="272" t="str">
        <f>IF(ISBLANK(B42),"",IF(COUNTIF('Teams in Pools'!$A$1:$H$24,B42)&gt;=1,"",ROW()))</f>
        <v/>
      </c>
      <c r="F42" s="272" t="str" cm="1">
        <f t="array" ref="F42">IF(ROW(B42)-ROW(B$2)+1&gt;COUNT($E$2:$E$65),"",IF(INDEX($B$2:$B$65,SMALL($E$2:$E$65,1+ROW(B42)-ROW(B$2))-1)=0,"",INDEX($B$2:$B$65,SMALL($E$2:$E$65,1+ROW(B42)-ROW(B$2))-1)))</f>
        <v/>
      </c>
    </row>
    <row r="43" spans="1:6" x14ac:dyDescent="0.25">
      <c r="A43">
        <v>42</v>
      </c>
      <c r="E43" s="272" t="str">
        <f>IF(ISBLANK(B43),"",IF(COUNTIF('Teams in Pools'!$A$1:$H$24,B43)&gt;=1,"",ROW()))</f>
        <v/>
      </c>
      <c r="F43" s="272" t="str" cm="1">
        <f t="array" ref="F43">IF(ROW(B43)-ROW(B$2)+1&gt;COUNT($E$2:$E$65),"",IF(INDEX($B$2:$B$65,SMALL($E$2:$E$65,1+ROW(B43)-ROW(B$2))-1)=0,"",INDEX($B$2:$B$65,SMALL($E$2:$E$65,1+ROW(B43)-ROW(B$2))-1)))</f>
        <v/>
      </c>
    </row>
    <row r="44" spans="1:6" x14ac:dyDescent="0.25">
      <c r="A44">
        <v>43</v>
      </c>
      <c r="E44" s="272" t="str">
        <f>IF(ISBLANK(B44),"",IF(COUNTIF('Teams in Pools'!$A$1:$H$24,B44)&gt;=1,"",ROW()))</f>
        <v/>
      </c>
      <c r="F44" s="272" t="str" cm="1">
        <f t="array" ref="F44">IF(ROW(B44)-ROW(B$2)+1&gt;COUNT($E$2:$E$65),"",IF(INDEX($B$2:$B$65,SMALL($E$2:$E$65,1+ROW(B44)-ROW(B$2))-1)=0,"",INDEX($B$2:$B$65,SMALL($E$2:$E$65,1+ROW(B44)-ROW(B$2))-1)))</f>
        <v/>
      </c>
    </row>
    <row r="45" spans="1:6" x14ac:dyDescent="0.25">
      <c r="A45">
        <v>44</v>
      </c>
      <c r="E45" s="272" t="str">
        <f>IF(ISBLANK(B45),"",IF(COUNTIF('Teams in Pools'!$A$1:$H$24,B45)&gt;=1,"",ROW()))</f>
        <v/>
      </c>
      <c r="F45" s="272" t="str" cm="1">
        <f t="array" ref="F45">IF(ROW(B45)-ROW(B$2)+1&gt;COUNT($E$2:$E$65),"",IF(INDEX($B$2:$B$65,SMALL($E$2:$E$65,1+ROW(B45)-ROW(B$2))-1)=0,"",INDEX($B$2:$B$65,SMALL($E$2:$E$65,1+ROW(B45)-ROW(B$2))-1)))</f>
        <v/>
      </c>
    </row>
    <row r="46" spans="1:6" x14ac:dyDescent="0.25">
      <c r="A46">
        <v>45</v>
      </c>
      <c r="E46" s="272" t="str">
        <f>IF(ISBLANK(B46),"",IF(COUNTIF('Teams in Pools'!$A$1:$H$24,B46)&gt;=1,"",ROW()))</f>
        <v/>
      </c>
      <c r="F46" s="272" t="str" cm="1">
        <f t="array" ref="F46">IF(ROW(B46)-ROW(B$2)+1&gt;COUNT($E$2:$E$65),"",IF(INDEX($B$2:$B$65,SMALL($E$2:$E$65,1+ROW(B46)-ROW(B$2))-1)=0,"",INDEX($B$2:$B$65,SMALL($E$2:$E$65,1+ROW(B46)-ROW(B$2))-1)))</f>
        <v/>
      </c>
    </row>
    <row r="47" spans="1:6" x14ac:dyDescent="0.25">
      <c r="A47">
        <v>46</v>
      </c>
      <c r="E47" s="272" t="str">
        <f>IF(ISBLANK(B47),"",IF(COUNTIF('Teams in Pools'!$A$1:$H$24,B47)&gt;=1,"",ROW()))</f>
        <v/>
      </c>
      <c r="F47" s="272" t="str" cm="1">
        <f t="array" ref="F47">IF(ROW(B47)-ROW(B$2)+1&gt;COUNT($E$2:$E$65),"",IF(INDEX($B$2:$B$65,SMALL($E$2:$E$65,1+ROW(B47)-ROW(B$2))-1)=0,"",INDEX($B$2:$B$65,SMALL($E$2:$E$65,1+ROW(B47)-ROW(B$2))-1)))</f>
        <v/>
      </c>
    </row>
    <row r="48" spans="1:6" x14ac:dyDescent="0.25">
      <c r="A48">
        <v>47</v>
      </c>
      <c r="E48" s="272" t="str">
        <f>IF(ISBLANK(B48),"",IF(COUNTIF('Teams in Pools'!$A$1:$H$24,B48)&gt;=1,"",ROW()))</f>
        <v/>
      </c>
      <c r="F48" s="272" t="str" cm="1">
        <f t="array" ref="F48">IF(ROW(B48)-ROW(B$2)+1&gt;COUNT($E$2:$E$65),"",IF(INDEX($B$2:$B$65,SMALL($E$2:$E$65,1+ROW(B48)-ROW(B$2))-1)=0,"",INDEX($B$2:$B$65,SMALL($E$2:$E$65,1+ROW(B48)-ROW(B$2))-1)))</f>
        <v/>
      </c>
    </row>
    <row r="49" spans="1:6" x14ac:dyDescent="0.25">
      <c r="A49">
        <v>48</v>
      </c>
      <c r="E49" s="272" t="str">
        <f>IF(ISBLANK(B49),"",IF(COUNTIF('Teams in Pools'!$A$1:$H$24,B49)&gt;=1,"",ROW()))</f>
        <v/>
      </c>
      <c r="F49" s="272" t="str" cm="1">
        <f t="array" ref="F49">IF(ROW(B49)-ROW(B$2)+1&gt;COUNT($E$2:$E$65),"",IF(INDEX($B$2:$B$65,SMALL($E$2:$E$65,1+ROW(B49)-ROW(B$2))-1)=0,"",INDEX($B$2:$B$65,SMALL($E$2:$E$65,1+ROW(B49)-ROW(B$2))-1)))</f>
        <v/>
      </c>
    </row>
    <row r="50" spans="1:6" x14ac:dyDescent="0.25">
      <c r="A50">
        <v>49</v>
      </c>
      <c r="E50" s="272" t="str">
        <f>IF(ISBLANK(B50),"",IF(COUNTIF('Teams in Pools'!$A$1:$H$24,B50)&gt;=1,"",ROW()))</f>
        <v/>
      </c>
      <c r="F50" s="272" t="str" cm="1">
        <f t="array" ref="F50">IF(ROW(B50)-ROW(B$2)+1&gt;COUNT($E$2:$E$65),"",IF(INDEX($B$2:$B$65,SMALL($E$2:$E$65,1+ROW(B50)-ROW(B$2))-1)=0,"",INDEX($B$2:$B$65,SMALL($E$2:$E$65,1+ROW(B50)-ROW(B$2))-1)))</f>
        <v/>
      </c>
    </row>
    <row r="51" spans="1:6" x14ac:dyDescent="0.25">
      <c r="A51">
        <v>50</v>
      </c>
      <c r="E51" s="272" t="str">
        <f>IF(ISBLANK(B51),"",IF(COUNTIF('Teams in Pools'!$A$1:$H$24,B51)&gt;=1,"",ROW()))</f>
        <v/>
      </c>
      <c r="F51" s="272" t="str" cm="1">
        <f t="array" ref="F51">IF(ROW(B51)-ROW(B$2)+1&gt;COUNT($E$2:$E$65),"",IF(INDEX($B$2:$B$65,SMALL($E$2:$E$65,1+ROW(B51)-ROW(B$2))-1)=0,"",INDEX($B$2:$B$65,SMALL($E$2:$E$65,1+ROW(B51)-ROW(B$2))-1)))</f>
        <v/>
      </c>
    </row>
    <row r="52" spans="1:6" x14ac:dyDescent="0.25">
      <c r="A52">
        <v>51</v>
      </c>
      <c r="E52" s="272" t="str">
        <f>IF(ISBLANK(B52),"",IF(COUNTIF('Teams in Pools'!$A$1:$H$24,B52)&gt;=1,"",ROW()))</f>
        <v/>
      </c>
      <c r="F52" s="272" t="str" cm="1">
        <f t="array" ref="F52">IF(ROW(B52)-ROW(B$2)+1&gt;COUNT($E$2:$E$65),"",IF(INDEX($B$2:$B$65,SMALL($E$2:$E$65,1+ROW(B52)-ROW(B$2))-1)=0,"",INDEX($B$2:$B$65,SMALL($E$2:$E$65,1+ROW(B52)-ROW(B$2))-1)))</f>
        <v/>
      </c>
    </row>
    <row r="53" spans="1:6" x14ac:dyDescent="0.25">
      <c r="A53">
        <v>52</v>
      </c>
      <c r="E53" s="272" t="str">
        <f>IF(ISBLANK(B53),"",IF(COUNTIF('Teams in Pools'!$A$1:$H$24,B53)&gt;=1,"",ROW()))</f>
        <v/>
      </c>
      <c r="F53" s="272" t="str" cm="1">
        <f t="array" ref="F53">IF(ROW(B53)-ROW(B$2)+1&gt;COUNT($E$2:$E$65),"",IF(INDEX($B$2:$B$65,SMALL($E$2:$E$65,1+ROW(B53)-ROW(B$2))-1)=0,"",INDEX($B$2:$B$65,SMALL($E$2:$E$65,1+ROW(B53)-ROW(B$2))-1)))</f>
        <v/>
      </c>
    </row>
    <row r="54" spans="1:6" x14ac:dyDescent="0.25">
      <c r="A54">
        <v>53</v>
      </c>
      <c r="E54" s="272" t="str">
        <f>IF(ISBLANK(B54),"",IF(COUNTIF('Teams in Pools'!$A$1:$H$24,B54)&gt;=1,"",ROW()))</f>
        <v/>
      </c>
      <c r="F54" s="272" t="str" cm="1">
        <f t="array" ref="F54">IF(ROW(B54)-ROW(B$2)+1&gt;COUNT($E$2:$E$65),"",IF(INDEX($B$2:$B$65,SMALL($E$2:$E$65,1+ROW(B54)-ROW(B$2))-1)=0,"",INDEX($B$2:$B$65,SMALL($E$2:$E$65,1+ROW(B54)-ROW(B$2))-1)))</f>
        <v/>
      </c>
    </row>
    <row r="55" spans="1:6" x14ac:dyDescent="0.25">
      <c r="A55">
        <v>54</v>
      </c>
      <c r="E55" s="272" t="str">
        <f>IF(ISBLANK(B55),"",IF(COUNTIF('Teams in Pools'!$A$1:$H$24,B55)&gt;=1,"",ROW()))</f>
        <v/>
      </c>
      <c r="F55" s="272" t="str" cm="1">
        <f t="array" ref="F55">IF(ROW(B55)-ROW(B$2)+1&gt;COUNT($E$2:$E$65),"",IF(INDEX($B$2:$B$65,SMALL($E$2:$E$65,1+ROW(B55)-ROW(B$2))-1)=0,"",INDEX($B$2:$B$65,SMALL($E$2:$E$65,1+ROW(B55)-ROW(B$2))-1)))</f>
        <v/>
      </c>
    </row>
    <row r="56" spans="1:6" x14ac:dyDescent="0.25">
      <c r="A56">
        <v>55</v>
      </c>
      <c r="E56" s="272" t="str">
        <f>IF(ISBLANK(B56),"",IF(COUNTIF('Teams in Pools'!$A$1:$H$24,B56)&gt;=1,"",ROW()))</f>
        <v/>
      </c>
      <c r="F56" s="272" t="str" cm="1">
        <f t="array" ref="F56">IF(ROW(B56)-ROW(B$2)+1&gt;COUNT($E$2:$E$65),"",IF(INDEX($B$2:$B$65,SMALL($E$2:$E$65,1+ROW(B56)-ROW(B$2))-1)=0,"",INDEX($B$2:$B$65,SMALL($E$2:$E$65,1+ROW(B56)-ROW(B$2))-1)))</f>
        <v/>
      </c>
    </row>
    <row r="57" spans="1:6" x14ac:dyDescent="0.25">
      <c r="A57">
        <v>56</v>
      </c>
      <c r="E57" s="272" t="str">
        <f>IF(ISBLANK(B57),"",IF(COUNTIF('Teams in Pools'!$A$1:$H$24,B57)&gt;=1,"",ROW()))</f>
        <v/>
      </c>
      <c r="F57" s="272" t="str" cm="1">
        <f t="array" ref="F57">IF(ROW(B57)-ROW(B$2)+1&gt;COUNT($E$2:$E$65),"",IF(INDEX($B$2:$B$65,SMALL($E$2:$E$65,1+ROW(B57)-ROW(B$2))-1)=0,"",INDEX($B$2:$B$65,SMALL($E$2:$E$65,1+ROW(B57)-ROW(B$2))-1)))</f>
        <v/>
      </c>
    </row>
    <row r="58" spans="1:6" x14ac:dyDescent="0.25">
      <c r="A58">
        <v>57</v>
      </c>
      <c r="E58" s="272" t="str">
        <f>IF(ISBLANK(B58),"",IF(COUNTIF('Teams in Pools'!$A$1:$H$24,B58)&gt;=1,"",ROW()))</f>
        <v/>
      </c>
      <c r="F58" s="272" t="str" cm="1">
        <f t="array" ref="F58">IF(ROW(B58)-ROW(B$2)+1&gt;COUNT($E$2:$E$65),"",IF(INDEX($B$2:$B$65,SMALL($E$2:$E$65,1+ROW(B58)-ROW(B$2))-1)=0,"",INDEX($B$2:$B$65,SMALL($E$2:$E$65,1+ROW(B58)-ROW(B$2))-1)))</f>
        <v/>
      </c>
    </row>
    <row r="59" spans="1:6" x14ac:dyDescent="0.25">
      <c r="A59">
        <v>58</v>
      </c>
      <c r="E59" s="272" t="str">
        <f>IF(ISBLANK(B59),"",IF(COUNTIF('Teams in Pools'!$A$1:$H$24,B59)&gt;=1,"",ROW()))</f>
        <v/>
      </c>
      <c r="F59" s="272" t="str" cm="1">
        <f t="array" ref="F59">IF(ROW(B59)-ROW(B$2)+1&gt;COUNT($E$2:$E$65),"",IF(INDEX($B$2:$B$65,SMALL($E$2:$E$65,1+ROW(B59)-ROW(B$2))-1)=0,"",INDEX($B$2:$B$65,SMALL($E$2:$E$65,1+ROW(B59)-ROW(B$2))-1)))</f>
        <v/>
      </c>
    </row>
    <row r="60" spans="1:6" x14ac:dyDescent="0.25">
      <c r="A60">
        <v>59</v>
      </c>
      <c r="E60" s="272" t="str">
        <f>IF(ISBLANK(B60),"",IF(COUNTIF('Teams in Pools'!$A$1:$H$24,B60)&gt;=1,"",ROW()))</f>
        <v/>
      </c>
      <c r="F60" s="272" t="str" cm="1">
        <f t="array" ref="F60">IF(ROW(B60)-ROW(B$2)+1&gt;COUNT($E$2:$E$65),"",IF(INDEX($B$2:$B$65,SMALL($E$2:$E$65,1+ROW(B60)-ROW(B$2))-1)=0,"",INDEX($B$2:$B$65,SMALL($E$2:$E$65,1+ROW(B60)-ROW(B$2))-1)))</f>
        <v/>
      </c>
    </row>
    <row r="61" spans="1:6" x14ac:dyDescent="0.25">
      <c r="A61">
        <v>60</v>
      </c>
      <c r="E61" s="272" t="str">
        <f>IF(ISBLANK(B61),"",IF(COUNTIF('Teams in Pools'!$A$1:$H$24,B61)&gt;=1,"",ROW()))</f>
        <v/>
      </c>
      <c r="F61" s="272" t="str" cm="1">
        <f t="array" ref="F61">IF(ROW(B61)-ROW(B$2)+1&gt;COUNT($E$2:$E$65),"",IF(INDEX($B$2:$B$65,SMALL($E$2:$E$65,1+ROW(B61)-ROW(B$2))-1)=0,"",INDEX($B$2:$B$65,SMALL($E$2:$E$65,1+ROW(B61)-ROW(B$2))-1)))</f>
        <v/>
      </c>
    </row>
    <row r="62" spans="1:6" x14ac:dyDescent="0.25">
      <c r="A62">
        <v>61</v>
      </c>
      <c r="E62" s="272" t="str">
        <f>IF(ISBLANK(B62),"",IF(COUNTIF('Teams in Pools'!$A$1:$H$24,B62)&gt;=1,"",ROW()))</f>
        <v/>
      </c>
      <c r="F62" s="272" t="str" cm="1">
        <f t="array" ref="F62">IF(ROW(B62)-ROW(B$2)+1&gt;COUNT($E$2:$E$65),"",IF(INDEX($B$2:$B$65,SMALL($E$2:$E$65,1+ROW(B62)-ROW(B$2))-1)=0,"",INDEX($B$2:$B$65,SMALL($E$2:$E$65,1+ROW(B62)-ROW(B$2))-1)))</f>
        <v/>
      </c>
    </row>
    <row r="63" spans="1:6" x14ac:dyDescent="0.25">
      <c r="A63">
        <v>62</v>
      </c>
      <c r="E63" s="272" t="str">
        <f>IF(ISBLANK(B63),"",IF(COUNTIF('Teams in Pools'!$A$1:$H$24,B63)&gt;=1,"",ROW()))</f>
        <v/>
      </c>
      <c r="F63" s="272" t="str" cm="1">
        <f t="array" ref="F63">IF(ROW(B63)-ROW(B$2)+1&gt;COUNT($E$2:$E$65),"",IF(INDEX($B$2:$B$65,SMALL($E$2:$E$65,1+ROW(B63)-ROW(B$2))-1)=0,"",INDEX($B$2:$B$65,SMALL($E$2:$E$65,1+ROW(B63)-ROW(B$2))-1)))</f>
        <v/>
      </c>
    </row>
    <row r="64" spans="1:6" x14ac:dyDescent="0.25">
      <c r="A64">
        <v>63</v>
      </c>
      <c r="E64" s="272" t="str">
        <f>IF(ISBLANK(B64),"",IF(COUNTIF('Teams in Pools'!$A$1:$H$24,B64)&gt;=1,"",ROW()))</f>
        <v/>
      </c>
      <c r="F64" s="272" t="str" cm="1">
        <f t="array" ref="F64">IF(ROW(B64)-ROW(B$2)+1&gt;COUNT($E$2:$E$65),"",IF(INDEX($B$2:$B$65,SMALL($E$2:$E$65,1+ROW(B64)-ROW(B$2))-1)=0,"",INDEX($B$2:$B$65,SMALL($E$2:$E$65,1+ROW(B64)-ROW(B$2))-1)))</f>
        <v/>
      </c>
    </row>
    <row r="65" spans="1:6" x14ac:dyDescent="0.25">
      <c r="A65">
        <v>64</v>
      </c>
      <c r="E65" s="272" t="str">
        <f>IF(ISBLANK(B65),"",IF(COUNTIF('Teams in Pools'!$A$1:$H$24,B65)&gt;=1,"",ROW()))</f>
        <v/>
      </c>
      <c r="F65" s="272" t="str" cm="1">
        <f t="array" ref="F65">IF(ROW(B65)-ROW(B$2)+1&gt;COUNT($E$2:$E$65),"",IF(INDEX($B$2:$B$65,SMALL($E$2:$E$65,1+ROW(B65)-ROW(B$2))-1)=0,"",INDEX($B$2:$B$65,SMALL($E$2:$E$65,1+ROW(B65)-ROW(B$2))-1)))</f>
        <v/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728A0-6419-4606-8B26-D807DF48D951}">
  <sheetPr codeName="Sheet3">
    <tabColor rgb="FFCCFFFF"/>
  </sheetPr>
  <dimension ref="A1:H51"/>
  <sheetViews>
    <sheetView zoomScale="172" zoomScaleNormal="172" workbookViewId="0">
      <selection activeCell="C25" sqref="C25"/>
    </sheetView>
  </sheetViews>
  <sheetFormatPr defaultRowHeight="15" x14ac:dyDescent="0.25"/>
  <cols>
    <col min="1" max="1" width="40.7109375" customWidth="1"/>
    <col min="2" max="2" width="10.7109375" style="270" customWidth="1"/>
    <col min="3" max="3" width="40.7109375" customWidth="1"/>
    <col min="4" max="4" width="10.7109375" customWidth="1"/>
    <col min="5" max="5" width="40.7109375" customWidth="1"/>
    <col min="6" max="6" width="10.7109375" customWidth="1"/>
    <col min="7" max="7" width="40.7109375" customWidth="1"/>
    <col min="8" max="8" width="10.7109375" customWidth="1"/>
  </cols>
  <sheetData>
    <row r="1" spans="1:8" ht="30" customHeight="1" x14ac:dyDescent="0.25">
      <c r="A1" s="260" t="s">
        <v>0</v>
      </c>
      <c r="B1" s="261"/>
      <c r="C1" s="262" t="s">
        <v>4</v>
      </c>
      <c r="D1" s="263"/>
      <c r="E1" s="260" t="s">
        <v>8</v>
      </c>
      <c r="F1" s="261"/>
      <c r="G1" s="262"/>
      <c r="H1" s="263"/>
    </row>
    <row r="2" spans="1:8" x14ac:dyDescent="0.25">
      <c r="A2" s="264" t="s">
        <v>152</v>
      </c>
      <c r="B2" s="37" t="str">
        <f>IF(ISBLANK(A2),"",IFERROR(_xlfn.XLOOKUP(A2,'List of Teams'!$B$2:$B$65,'List of Teams'!$C$2:$C$65),""))</f>
        <v>team 16</v>
      </c>
      <c r="C2" s="265" t="s">
        <v>161</v>
      </c>
      <c r="D2" s="41" t="str">
        <f>IF(ISBLANK(C2),"",IFERROR(_xlfn.XLOOKUP(C2,'List of Teams'!$B$2:$B$65,'List of Teams'!$C$2:$C$65),""))</f>
        <v>team 25</v>
      </c>
      <c r="E2" s="264" t="s">
        <v>169</v>
      </c>
      <c r="F2" s="37" t="str">
        <f>IF(ISBLANK(E2),"",IFERROR(_xlfn.XLOOKUP(E2,'List of Teams'!$B$2:$B$65,'List of Teams'!$C$2:$C$65),""))</f>
        <v>team 33</v>
      </c>
      <c r="G2" s="265"/>
      <c r="H2" s="41" t="str">
        <f>IF(ISBLANK(G2),"",IFERROR(_xlfn.XLOOKUP(G2,'List of Teams'!$B$2:$B$65,'List of Teams'!$C$2:$C$65),""))</f>
        <v/>
      </c>
    </row>
    <row r="3" spans="1:8" x14ac:dyDescent="0.25">
      <c r="A3" s="266" t="s">
        <v>150</v>
      </c>
      <c r="B3" s="38" t="str">
        <f>IF(ISBLANK(A3),"",IFERROR(_xlfn.XLOOKUP(A3,'List of Teams'!$B$2:$B$65,'List of Teams'!$C$2:$C$65),""))</f>
        <v>team 14</v>
      </c>
      <c r="C3" s="267" t="s">
        <v>143</v>
      </c>
      <c r="D3" s="42" t="str">
        <f>IF(ISBLANK(C3),"",IFERROR(_xlfn.XLOOKUP(C3,'List of Teams'!$B$2:$B$65,'List of Teams'!$C$2:$C$65),""))</f>
        <v>team 7</v>
      </c>
      <c r="E3" s="266" t="s">
        <v>137</v>
      </c>
      <c r="F3" s="38" t="str">
        <f>IF(ISBLANK(E3),"",IFERROR(_xlfn.XLOOKUP(E3,'List of Teams'!$B$2:$B$65,'List of Teams'!$C$2:$C$65),""))</f>
        <v>team 1</v>
      </c>
      <c r="G3" s="267"/>
      <c r="H3" s="42" t="str">
        <f>IF(ISBLANK(G3),"",IFERROR(_xlfn.XLOOKUP(G3,'List of Teams'!$B$2:$B$65,'List of Teams'!$C$2:$C$65),""))</f>
        <v/>
      </c>
    </row>
    <row r="4" spans="1:8" x14ac:dyDescent="0.25">
      <c r="A4" s="264" t="s">
        <v>156</v>
      </c>
      <c r="B4" s="39" t="str">
        <f>IF(ISBLANK(A4),"",IFERROR(_xlfn.XLOOKUP(A4,'List of Teams'!$B$2:$B$65,'List of Teams'!$C$2:$C$65),""))</f>
        <v>team 20</v>
      </c>
      <c r="C4" s="265" t="s">
        <v>142</v>
      </c>
      <c r="D4" s="43" t="str">
        <f>IF(ISBLANK(C4),"",IFERROR(_xlfn.XLOOKUP(C4,'List of Teams'!$B$2:$B$65,'List of Teams'!$C$2:$C$65),""))</f>
        <v>team 6</v>
      </c>
      <c r="E4" s="264" t="s">
        <v>139</v>
      </c>
      <c r="F4" s="39" t="str">
        <f>IF(ISBLANK(E4),"",IFERROR(_xlfn.XLOOKUP(E4,'List of Teams'!$B$2:$B$65,'List of Teams'!$C$2:$C$65),""))</f>
        <v>team 3</v>
      </c>
      <c r="G4" s="265"/>
      <c r="H4" s="43" t="str">
        <f>IF(ISBLANK(G4),"",IFERROR(_xlfn.XLOOKUP(G4,'List of Teams'!$B$2:$B$65,'List of Teams'!$C$2:$C$65),""))</f>
        <v/>
      </c>
    </row>
    <row r="5" spans="1:8" x14ac:dyDescent="0.25">
      <c r="A5" s="266" t="s">
        <v>170</v>
      </c>
      <c r="B5" s="38" t="str">
        <f>IF(ISBLANK(A5),"",IFERROR(_xlfn.XLOOKUP(A5,'List of Teams'!$B$2:$B$65,'List of Teams'!$C$2:$C$65),""))</f>
        <v>team 34</v>
      </c>
      <c r="C5" s="267" t="s">
        <v>146</v>
      </c>
      <c r="D5" s="42" t="str">
        <f>IF(ISBLANK(C5),"",IFERROR(_xlfn.XLOOKUP(C5,'List of Teams'!$B$2:$B$65,'List of Teams'!$C$2:$C$65),""))</f>
        <v>team 10</v>
      </c>
      <c r="E5" s="266" t="s">
        <v>172</v>
      </c>
      <c r="F5" s="38" t="str">
        <f>IF(ISBLANK(E5),"",IFERROR(_xlfn.XLOOKUP(E5,'List of Teams'!$B$2:$B$65,'List of Teams'!$C$2:$C$65),""))</f>
        <v>team 36</v>
      </c>
      <c r="G5" s="267"/>
      <c r="H5" s="42" t="str">
        <f>IF(ISBLANK(G5),"",IFERROR(_xlfn.XLOOKUP(G5,'List of Teams'!$B$2:$B$65,'List of Teams'!$C$2:$C$65),""))</f>
        <v/>
      </c>
    </row>
    <row r="6" spans="1:8" ht="15.75" thickBot="1" x14ac:dyDescent="0.3">
      <c r="A6" s="268"/>
      <c r="B6" s="40" t="str">
        <f>IF(ISBLANK(A6),"",IFERROR(_xlfn.XLOOKUP(A6,'List of Teams'!$B$2:$B$65,'List of Teams'!$C$2:$C$65),""))</f>
        <v/>
      </c>
      <c r="C6" s="269"/>
      <c r="D6" s="44" t="str">
        <f>IF(ISBLANK(C6),"",IFERROR(_xlfn.XLOOKUP(C6,'List of Teams'!$B$2:$B$65,'List of Teams'!$C$2:$C$65),""))</f>
        <v/>
      </c>
      <c r="E6" s="268"/>
      <c r="F6" s="40" t="str">
        <f>IF(ISBLANK(E6),"",IFERROR(_xlfn.XLOOKUP(E6,'List of Teams'!$B$2:$B$65,'List of Teams'!$C$2:$C$65),""))</f>
        <v/>
      </c>
      <c r="G6" s="269"/>
      <c r="H6" s="44" t="str">
        <f>IF(ISBLANK(G6),"",IFERROR(_xlfn.XLOOKUP(G6,'List of Teams'!$B$2:$B$65,'List of Teams'!$C$2:$C$65),""))</f>
        <v/>
      </c>
    </row>
    <row r="7" spans="1:8" ht="26.25" x14ac:dyDescent="0.25">
      <c r="A7" s="262" t="s">
        <v>1</v>
      </c>
      <c r="B7" s="263"/>
      <c r="C7" s="260" t="s">
        <v>5</v>
      </c>
      <c r="D7" s="261"/>
      <c r="E7" s="262"/>
      <c r="F7" s="263"/>
      <c r="G7" s="260"/>
      <c r="H7" s="261"/>
    </row>
    <row r="8" spans="1:8" x14ac:dyDescent="0.25">
      <c r="A8" s="265" t="s">
        <v>171</v>
      </c>
      <c r="B8" s="41" t="str">
        <f>IF(ISBLANK(A8),"",IFERROR(_xlfn.XLOOKUP(A8,'List of Teams'!$B$2:$B$65,'List of Teams'!$C$2:$C$65),""))</f>
        <v>team 35</v>
      </c>
      <c r="C8" s="264" t="s">
        <v>145</v>
      </c>
      <c r="D8" s="37" t="str">
        <f>IF(ISBLANK(C8),"",IFERROR(_xlfn.XLOOKUP(C8,'List of Teams'!$B$2:$B$65,'List of Teams'!$C$2:$C$65),""))</f>
        <v>team 9</v>
      </c>
      <c r="E8" s="265"/>
      <c r="F8" s="41" t="str">
        <f>IF(ISBLANK(E8),"",IFERROR(_xlfn.XLOOKUP(E8,'List of Teams'!$B$2:$B$65,'List of Teams'!$C$2:$C$65),""))</f>
        <v/>
      </c>
      <c r="G8" s="264"/>
      <c r="H8" s="37" t="str">
        <f>IF(ISBLANK(G8),"",IFERROR(_xlfn.XLOOKUP(G8,'List of Teams'!$B$2:$B$65,'List of Teams'!$C$2:$C$65),""))</f>
        <v/>
      </c>
    </row>
    <row r="9" spans="1:8" x14ac:dyDescent="0.25">
      <c r="A9" s="267" t="s">
        <v>149</v>
      </c>
      <c r="B9" s="42" t="str">
        <f>IF(ISBLANK(A9),"",IFERROR(_xlfn.XLOOKUP(A9,'List of Teams'!$B$2:$B$65,'List of Teams'!$C$2:$C$65),""))</f>
        <v>team 13</v>
      </c>
      <c r="C9" s="266" t="s">
        <v>157</v>
      </c>
      <c r="D9" s="38" t="str">
        <f>IF(ISBLANK(C9),"",IFERROR(_xlfn.XLOOKUP(C9,'List of Teams'!$B$2:$B$65,'List of Teams'!$C$2:$C$65),""))</f>
        <v>team 21</v>
      </c>
      <c r="E9" s="267"/>
      <c r="F9" s="42" t="str">
        <f>IF(ISBLANK(E9),"",IFERROR(_xlfn.XLOOKUP(E9,'List of Teams'!$B$2:$B$65,'List of Teams'!$C$2:$C$65),""))</f>
        <v/>
      </c>
      <c r="G9" s="266"/>
      <c r="H9" s="38" t="str">
        <f>IF(ISBLANK(G9),"",IFERROR(_xlfn.XLOOKUP(G9,'List of Teams'!$B$2:$B$65,'List of Teams'!$C$2:$C$65),""))</f>
        <v/>
      </c>
    </row>
    <row r="10" spans="1:8" x14ac:dyDescent="0.25">
      <c r="A10" s="265" t="s">
        <v>154</v>
      </c>
      <c r="B10" s="43" t="str">
        <f>IF(ISBLANK(A10),"",IFERROR(_xlfn.XLOOKUP(A10,'List of Teams'!$B$2:$B$65,'List of Teams'!$C$2:$C$65),""))</f>
        <v>team 18</v>
      </c>
      <c r="C10" s="264" t="s">
        <v>147</v>
      </c>
      <c r="D10" s="39" t="str">
        <f>IF(ISBLANK(C10),"",IFERROR(_xlfn.XLOOKUP(C10,'List of Teams'!$B$2:$B$65,'List of Teams'!$C$2:$C$65),""))</f>
        <v>team 11</v>
      </c>
      <c r="E10" s="265"/>
      <c r="F10" s="43" t="str">
        <f>IF(ISBLANK(E10),"",IFERROR(_xlfn.XLOOKUP(E10,'List of Teams'!$B$2:$B$65,'List of Teams'!$C$2:$C$65),""))</f>
        <v/>
      </c>
      <c r="G10" s="264"/>
      <c r="H10" s="39" t="str">
        <f>IF(ISBLANK(G10),"",IFERROR(_xlfn.XLOOKUP(G10,'List of Teams'!$B$2:$B$65,'List of Teams'!$C$2:$C$65),""))</f>
        <v/>
      </c>
    </row>
    <row r="11" spans="1:8" x14ac:dyDescent="0.25">
      <c r="A11" s="267" t="s">
        <v>168</v>
      </c>
      <c r="B11" s="42" t="str">
        <f>IF(ISBLANK(A11),"",IFERROR(_xlfn.XLOOKUP(A11,'List of Teams'!$B$2:$B$65,'List of Teams'!$C$2:$C$65),""))</f>
        <v>team 32</v>
      </c>
      <c r="C11" s="266" t="s">
        <v>144</v>
      </c>
      <c r="D11" s="38" t="str">
        <f>IF(ISBLANK(C11),"",IFERROR(_xlfn.XLOOKUP(C11,'List of Teams'!$B$2:$B$65,'List of Teams'!$C$2:$C$65),""))</f>
        <v>team 8</v>
      </c>
      <c r="E11" s="267"/>
      <c r="F11" s="42" t="str">
        <f>IF(ISBLANK(E11),"",IFERROR(_xlfn.XLOOKUP(E11,'List of Teams'!$B$2:$B$65,'List of Teams'!$C$2:$C$65),""))</f>
        <v/>
      </c>
      <c r="G11" s="266"/>
      <c r="H11" s="38" t="str">
        <f>IF(ISBLANK(G11),"",IFERROR(_xlfn.XLOOKUP(G11,'List of Teams'!$B$2:$B$65,'List of Teams'!$C$2:$C$65),""))</f>
        <v/>
      </c>
    </row>
    <row r="12" spans="1:8" ht="15.75" thickBot="1" x14ac:dyDescent="0.3">
      <c r="A12" s="269"/>
      <c r="B12" s="44" t="str">
        <f>IF(ISBLANK(A12),"",IFERROR(_xlfn.XLOOKUP(A12,'List of Teams'!$B$2:$B$65,'List of Teams'!$C$2:$C$65),""))</f>
        <v/>
      </c>
      <c r="C12" s="268"/>
      <c r="D12" s="40" t="str">
        <f>IF(ISBLANK(C12),"",IFERROR(_xlfn.XLOOKUP(C12,'List of Teams'!$B$2:$B$65,'List of Teams'!$C$2:$C$65),""))</f>
        <v/>
      </c>
      <c r="E12" s="269"/>
      <c r="F12" s="44" t="str">
        <f>IF(ISBLANK(E12),"",IFERROR(_xlfn.XLOOKUP(E12,'List of Teams'!$B$2:$B$65,'List of Teams'!$C$2:$C$65),""))</f>
        <v/>
      </c>
      <c r="G12" s="268"/>
      <c r="H12" s="40" t="str">
        <f>IF(ISBLANK(G12),"",IFERROR(_xlfn.XLOOKUP(G12,'List of Teams'!$B$2:$B$65,'List of Teams'!$C$2:$C$65),""))</f>
        <v/>
      </c>
    </row>
    <row r="13" spans="1:8" ht="26.25" x14ac:dyDescent="0.25">
      <c r="A13" s="260" t="s">
        <v>2</v>
      </c>
      <c r="B13" s="261"/>
      <c r="C13" s="262" t="s">
        <v>6</v>
      </c>
      <c r="D13" s="263"/>
      <c r="E13" s="260"/>
      <c r="F13" s="261"/>
      <c r="G13" s="262"/>
      <c r="H13" s="263"/>
    </row>
    <row r="14" spans="1:8" x14ac:dyDescent="0.25">
      <c r="A14" s="264" t="s">
        <v>165</v>
      </c>
      <c r="B14" s="37" t="str">
        <f>IF(ISBLANK(A14),"",IFERROR(_xlfn.XLOOKUP(A14,'List of Teams'!$B$2:$B$65,'List of Teams'!$C$2:$C$65),""))</f>
        <v>team 29</v>
      </c>
      <c r="C14" s="265" t="s">
        <v>158</v>
      </c>
      <c r="D14" s="41" t="str">
        <f>IF(ISBLANK(C14),"",IFERROR(_xlfn.XLOOKUP(C14,'List of Teams'!$B$2:$B$65,'List of Teams'!$C$2:$C$65),""))</f>
        <v>team 22</v>
      </c>
      <c r="E14" s="264"/>
      <c r="F14" s="37" t="str">
        <f>IF(ISBLANK(E14),"",IFERROR(_xlfn.XLOOKUP(E14,'List of Teams'!$B$2:$B$65,'List of Teams'!$C$2:$C$65),""))</f>
        <v/>
      </c>
      <c r="G14" s="265"/>
      <c r="H14" s="41" t="str">
        <f>IF(ISBLANK(G14),"",IFERROR(_xlfn.XLOOKUP(G14,'List of Teams'!$B$2:$B$65,'List of Teams'!$C$2:$C$65),""))</f>
        <v/>
      </c>
    </row>
    <row r="15" spans="1:8" x14ac:dyDescent="0.25">
      <c r="A15" s="266" t="s">
        <v>166</v>
      </c>
      <c r="B15" s="38" t="str">
        <f>IF(ISBLANK(A15),"",IFERROR(_xlfn.XLOOKUP(A15,'List of Teams'!$B$2:$B$65,'List of Teams'!$C$2:$C$65),""))</f>
        <v>team 30</v>
      </c>
      <c r="C15" s="267" t="s">
        <v>162</v>
      </c>
      <c r="D15" s="42" t="str">
        <f>IF(ISBLANK(C15),"",IFERROR(_xlfn.XLOOKUP(C15,'List of Teams'!$B$2:$B$65,'List of Teams'!$C$2:$C$65),""))</f>
        <v>team 26</v>
      </c>
      <c r="E15" s="266"/>
      <c r="F15" s="38" t="str">
        <f>IF(ISBLANK(E15),"",IFERROR(_xlfn.XLOOKUP(E15,'List of Teams'!$B$2:$B$65,'List of Teams'!$C$2:$C$65),""))</f>
        <v/>
      </c>
      <c r="G15" s="267"/>
      <c r="H15" s="42" t="str">
        <f>IF(ISBLANK(G15),"",IFERROR(_xlfn.XLOOKUP(G15,'List of Teams'!$B$2:$B$65,'List of Teams'!$C$2:$C$65),""))</f>
        <v/>
      </c>
    </row>
    <row r="16" spans="1:8" x14ac:dyDescent="0.25">
      <c r="A16" s="264" t="s">
        <v>164</v>
      </c>
      <c r="B16" s="39" t="str">
        <f>IF(ISBLANK(A16),"",IFERROR(_xlfn.XLOOKUP(A16,'List of Teams'!$B$2:$B$65,'List of Teams'!$C$2:$C$65),""))</f>
        <v>team 28</v>
      </c>
      <c r="C16" s="265" t="s">
        <v>160</v>
      </c>
      <c r="D16" s="43" t="str">
        <f>IF(ISBLANK(C16),"",IFERROR(_xlfn.XLOOKUP(C16,'List of Teams'!$B$2:$B$65,'List of Teams'!$C$2:$C$65),""))</f>
        <v>team 24</v>
      </c>
      <c r="E16" s="264"/>
      <c r="F16" s="39" t="str">
        <f>IF(ISBLANK(E16),"",IFERROR(_xlfn.XLOOKUP(E16,'List of Teams'!$B$2:$B$65,'List of Teams'!$C$2:$C$65),""))</f>
        <v/>
      </c>
      <c r="G16" s="265"/>
      <c r="H16" s="43" t="str">
        <f>IF(ISBLANK(G16),"",IFERROR(_xlfn.XLOOKUP(G16,'List of Teams'!$B$2:$B$65,'List of Teams'!$C$2:$C$65),""))</f>
        <v/>
      </c>
    </row>
    <row r="17" spans="1:8" x14ac:dyDescent="0.25">
      <c r="A17" s="266" t="s">
        <v>163</v>
      </c>
      <c r="B17" s="38" t="str">
        <f>IF(ISBLANK(A17),"",IFERROR(_xlfn.XLOOKUP(A17,'List of Teams'!$B$2:$B$65,'List of Teams'!$C$2:$C$65),""))</f>
        <v>team 27</v>
      </c>
      <c r="C17" s="267" t="s">
        <v>153</v>
      </c>
      <c r="D17" s="42" t="str">
        <f>IF(ISBLANK(C17),"",IFERROR(_xlfn.XLOOKUP(C17,'List of Teams'!$B$2:$B$65,'List of Teams'!$C$2:$C$65),""))</f>
        <v>team 17</v>
      </c>
      <c r="E17" s="266"/>
      <c r="F17" s="38" t="str">
        <f>IF(ISBLANK(E17),"",IFERROR(_xlfn.XLOOKUP(E17,'List of Teams'!$B$2:$B$65,'List of Teams'!$C$2:$C$65),""))</f>
        <v/>
      </c>
      <c r="G17" s="267"/>
      <c r="H17" s="42" t="str">
        <f>IF(ISBLANK(G17),"",IFERROR(_xlfn.XLOOKUP(G17,'List of Teams'!$B$2:$B$65,'List of Teams'!$C$2:$C$65),""))</f>
        <v/>
      </c>
    </row>
    <row r="18" spans="1:8" ht="15.75" thickBot="1" x14ac:dyDescent="0.3">
      <c r="A18" s="268"/>
      <c r="B18" s="40" t="str">
        <f>IF(ISBLANK(A18),"",IFERROR(_xlfn.XLOOKUP(A18,'List of Teams'!$B$2:$B$65,'List of Teams'!$C$2:$C$65),""))</f>
        <v/>
      </c>
      <c r="C18" s="269"/>
      <c r="D18" s="44" t="str">
        <f>IF(ISBLANK(C18),"",IFERROR(_xlfn.XLOOKUP(C18,'List of Teams'!$B$2:$B$65,'List of Teams'!$C$2:$C$65),""))</f>
        <v/>
      </c>
      <c r="E18" s="268"/>
      <c r="F18" s="40" t="str">
        <f>IF(ISBLANK(E18),"",IFERROR(_xlfn.XLOOKUP(E18,'List of Teams'!$B$2:$B$65,'List of Teams'!$C$2:$C$65),""))</f>
        <v/>
      </c>
      <c r="G18" s="269"/>
      <c r="H18" s="44" t="str">
        <f>IF(ISBLANK(G18),"",IFERROR(_xlfn.XLOOKUP(G18,'List of Teams'!$B$2:$B$65,'List of Teams'!$C$2:$C$65),""))</f>
        <v/>
      </c>
    </row>
    <row r="19" spans="1:8" ht="26.25" x14ac:dyDescent="0.25">
      <c r="A19" s="262" t="s">
        <v>3</v>
      </c>
      <c r="B19" s="263"/>
      <c r="C19" s="260" t="s">
        <v>7</v>
      </c>
      <c r="D19" s="261"/>
      <c r="E19" s="262"/>
      <c r="F19" s="263"/>
      <c r="G19" s="260"/>
      <c r="H19" s="261"/>
    </row>
    <row r="20" spans="1:8" x14ac:dyDescent="0.25">
      <c r="A20" s="265" t="s">
        <v>155</v>
      </c>
      <c r="B20" s="41" t="str">
        <f>IF(ISBLANK(A20),"",IFERROR(_xlfn.XLOOKUP(A20,'List of Teams'!$B$2:$B$65,'List of Teams'!$C$2:$C$65),""))</f>
        <v>team 19</v>
      </c>
      <c r="C20" s="264" t="s">
        <v>141</v>
      </c>
      <c r="D20" s="37" t="str">
        <f>IF(ISBLANK(C20),"",IFERROR(_xlfn.XLOOKUP(C20,'List of Teams'!$B$2:$B$65,'List of Teams'!$C$2:$C$65),""))</f>
        <v>team 5</v>
      </c>
      <c r="E20" s="265"/>
      <c r="F20" s="41" t="str">
        <f>IF(ISBLANK(E20),"",IFERROR(_xlfn.XLOOKUP(E20,'List of Teams'!$B$2:$B$65,'List of Teams'!$C$2:$C$65),""))</f>
        <v/>
      </c>
      <c r="G20" s="264"/>
      <c r="H20" s="37" t="str">
        <f>IF(ISBLANK(G20),"",IFERROR(_xlfn.XLOOKUP(G20,'List of Teams'!$B$2:$B$65,'List of Teams'!$C$2:$C$65),""))</f>
        <v/>
      </c>
    </row>
    <row r="21" spans="1:8" x14ac:dyDescent="0.25">
      <c r="A21" s="267" t="s">
        <v>138</v>
      </c>
      <c r="B21" s="42" t="str">
        <f>IF(ISBLANK(A21),"",IFERROR(_xlfn.XLOOKUP(A21,'List of Teams'!$B$2:$B$65,'List of Teams'!$C$2:$C$65),""))</f>
        <v>team 2</v>
      </c>
      <c r="C21" s="266" t="s">
        <v>151</v>
      </c>
      <c r="D21" s="38" t="str">
        <f>IF(ISBLANK(C21),"",IFERROR(_xlfn.XLOOKUP(C21,'List of Teams'!$B$2:$B$65,'List of Teams'!$C$2:$C$65),""))</f>
        <v>team 15</v>
      </c>
      <c r="E21" s="267"/>
      <c r="F21" s="42" t="str">
        <f>IF(ISBLANK(E21),"",IFERROR(_xlfn.XLOOKUP(E21,'List of Teams'!$B$2:$B$65,'List of Teams'!$C$2:$C$65),""))</f>
        <v/>
      </c>
      <c r="G21" s="266"/>
      <c r="H21" s="38" t="str">
        <f>IF(ISBLANK(G21),"",IFERROR(_xlfn.XLOOKUP(G21,'List of Teams'!$B$2:$B$65,'List of Teams'!$C$2:$C$65),""))</f>
        <v/>
      </c>
    </row>
    <row r="22" spans="1:8" x14ac:dyDescent="0.25">
      <c r="A22" s="265" t="s">
        <v>148</v>
      </c>
      <c r="B22" s="43" t="str">
        <f>IF(ISBLANK(A22),"",IFERROR(_xlfn.XLOOKUP(A22,'List of Teams'!$B$2:$B$65,'List of Teams'!$C$2:$C$65),""))</f>
        <v>team 12</v>
      </c>
      <c r="C22" s="264" t="s">
        <v>167</v>
      </c>
      <c r="D22" s="39" t="str">
        <f>IF(ISBLANK(C22),"",IFERROR(_xlfn.XLOOKUP(C22,'List of Teams'!$B$2:$B$65,'List of Teams'!$C$2:$C$65),""))</f>
        <v>team 31</v>
      </c>
      <c r="E22" s="265"/>
      <c r="F22" s="43" t="str">
        <f>IF(ISBLANK(E22),"",IFERROR(_xlfn.XLOOKUP(E22,'List of Teams'!$B$2:$B$65,'List of Teams'!$C$2:$C$65),""))</f>
        <v/>
      </c>
      <c r="G22" s="264"/>
      <c r="H22" s="39" t="str">
        <f>IF(ISBLANK(G22),"",IFERROR(_xlfn.XLOOKUP(G22,'List of Teams'!$B$2:$B$65,'List of Teams'!$C$2:$C$65),""))</f>
        <v/>
      </c>
    </row>
    <row r="23" spans="1:8" x14ac:dyDescent="0.25">
      <c r="A23" s="267" t="s">
        <v>159</v>
      </c>
      <c r="B23" s="42" t="str">
        <f>IF(ISBLANK(A23),"",IFERROR(_xlfn.XLOOKUP(A23,'List of Teams'!$B$2:$B$65,'List of Teams'!$C$2:$C$65),""))</f>
        <v>team 23</v>
      </c>
      <c r="C23" s="266" t="s">
        <v>140</v>
      </c>
      <c r="D23" s="38" t="str">
        <f>IF(ISBLANK(C23),"",IFERROR(_xlfn.XLOOKUP(C23,'List of Teams'!$B$2:$B$65,'List of Teams'!$C$2:$C$65),""))</f>
        <v>team 4</v>
      </c>
      <c r="E23" s="267"/>
      <c r="F23" s="42" t="str">
        <f>IF(ISBLANK(E23),"",IFERROR(_xlfn.XLOOKUP(E23,'List of Teams'!$B$2:$B$65,'List of Teams'!$C$2:$C$65),""))</f>
        <v/>
      </c>
      <c r="G23" s="266"/>
      <c r="H23" s="38" t="str">
        <f>IF(ISBLANK(G23),"",IFERROR(_xlfn.XLOOKUP(G23,'List of Teams'!$B$2:$B$65,'List of Teams'!$C$2:$C$65),""))</f>
        <v/>
      </c>
    </row>
    <row r="24" spans="1:8" ht="15.75" thickBot="1" x14ac:dyDescent="0.3">
      <c r="A24" s="269"/>
      <c r="B24" s="44" t="str">
        <f>IF(ISBLANK(A24),"",IFERROR(_xlfn.XLOOKUP(A24,'List of Teams'!$B$2:$B$65,'List of Teams'!$C$2:$C$65),""))</f>
        <v/>
      </c>
      <c r="C24" s="268"/>
      <c r="D24" s="40" t="str">
        <f>IF(ISBLANK(C24),"",IFERROR(_xlfn.XLOOKUP(C24,'List of Teams'!$B$2:$B$65,'List of Teams'!$C$2:$C$65),""))</f>
        <v/>
      </c>
      <c r="E24" s="269"/>
      <c r="F24" s="44" t="str">
        <f>IF(ISBLANK(E24),"",IFERROR(_xlfn.XLOOKUP(E24,'List of Teams'!$B$2:$B$65,'List of Teams'!$C$2:$C$65),""))</f>
        <v/>
      </c>
      <c r="G24" s="268"/>
      <c r="H24" s="40" t="str">
        <f>IF(ISBLANK(G24),"",IFERROR(_xlfn.XLOOKUP(G24,'List of Teams'!$B$2:$B$65,'List of Teams'!$C$2:$C$65),""))</f>
        <v/>
      </c>
    </row>
    <row r="34" spans="1:1" hidden="1" x14ac:dyDescent="0.25"/>
    <row r="35" spans="1:1" hidden="1" x14ac:dyDescent="0.25">
      <c r="A35" t="str">
        <f>IF(ISBLANK(A1),"",A1)</f>
        <v>Pool 1</v>
      </c>
    </row>
    <row r="36" spans="1:1" hidden="1" x14ac:dyDescent="0.25">
      <c r="A36" t="str">
        <f>IF(ISBLANK(A7),"",A7)</f>
        <v>Pool 2</v>
      </c>
    </row>
    <row r="37" spans="1:1" hidden="1" x14ac:dyDescent="0.25">
      <c r="A37" t="str">
        <f>IF(ISBLANK(A13),"",A13)</f>
        <v>Pool 3</v>
      </c>
    </row>
    <row r="38" spans="1:1" hidden="1" x14ac:dyDescent="0.25">
      <c r="A38" t="str">
        <f>IF(ISBLANK(A19),"",A19)</f>
        <v>Pool 4</v>
      </c>
    </row>
    <row r="39" spans="1:1" hidden="1" x14ac:dyDescent="0.25">
      <c r="A39" t="str">
        <f>IF(ISBLANK(C1),"",C1)</f>
        <v>Pool 5</v>
      </c>
    </row>
    <row r="40" spans="1:1" hidden="1" x14ac:dyDescent="0.25">
      <c r="A40" t="str">
        <f>IF(ISBLANK(C7),"",C7)</f>
        <v>Pool 6</v>
      </c>
    </row>
    <row r="41" spans="1:1" hidden="1" x14ac:dyDescent="0.25">
      <c r="A41" t="str">
        <f>IF(ISBLANK(C13),"",C13)</f>
        <v>Pool 7</v>
      </c>
    </row>
    <row r="42" spans="1:1" hidden="1" x14ac:dyDescent="0.25">
      <c r="A42" t="str">
        <f>IF(ISBLANK(C19),"",C19)</f>
        <v>Pool 8</v>
      </c>
    </row>
    <row r="43" spans="1:1" hidden="1" x14ac:dyDescent="0.25">
      <c r="A43" t="str">
        <f>IF(ISBLANK(E1),"",E1)</f>
        <v>Pool 9</v>
      </c>
    </row>
    <row r="44" spans="1:1" hidden="1" x14ac:dyDescent="0.25">
      <c r="A44" t="str">
        <f>IF(ISBLANK(E7),"",E7)</f>
        <v/>
      </c>
    </row>
    <row r="45" spans="1:1" hidden="1" x14ac:dyDescent="0.25">
      <c r="A45" t="str">
        <f>IF(ISBLANK(E13),"",E13)</f>
        <v/>
      </c>
    </row>
    <row r="46" spans="1:1" hidden="1" x14ac:dyDescent="0.25">
      <c r="A46" t="str">
        <f>IF(ISBLANK(E19),"",E19)</f>
        <v/>
      </c>
    </row>
    <row r="47" spans="1:1" hidden="1" x14ac:dyDescent="0.25">
      <c r="A47" t="str">
        <f>IF(ISBLANK(G1),"",G1)</f>
        <v/>
      </c>
    </row>
    <row r="48" spans="1:1" hidden="1" x14ac:dyDescent="0.25">
      <c r="A48" t="str">
        <f>IF(ISBLANK(G7),"",G7)</f>
        <v/>
      </c>
    </row>
    <row r="49" spans="1:1" hidden="1" x14ac:dyDescent="0.25">
      <c r="A49" t="str">
        <f>IF(ISBLANK(G13),"",G13)</f>
        <v/>
      </c>
    </row>
    <row r="50" spans="1:1" hidden="1" x14ac:dyDescent="0.25">
      <c r="A50" t="str">
        <f>IF(ISBLANK(G19),"",G19)</f>
        <v/>
      </c>
    </row>
    <row r="51" spans="1:1" hidden="1" x14ac:dyDescent="0.25"/>
  </sheetData>
  <phoneticPr fontId="1" type="noConversion"/>
  <conditionalFormatting sqref="A2:A6 A8:A12 A14:A18 A20:A24 C2:C6 C8:C12 C14:C18 C20:C24 E2:E6 E8:E12 E14:E18 E20:E24 G2:G6 G8:G12 G14:G18 G20:G24">
    <cfRule type="duplicateValues" dxfId="0" priority="1"/>
  </conditionalFormatting>
  <dataValidations count="3">
    <dataValidation type="list" allowBlank="1" showInputMessage="1" showErrorMessage="1" sqref="G20:G24 A8:A12 A14:A18 A20:A24 C2:C6 A3:A6 C14:C18 C20:C24 E2:E6 E8:E12 E14:E18 E20:E24 G2:G6 G8:G12 G14:G18 C9:C12" xr:uid="{67B24723-DBF4-4D3E-9E66-67AB2FE793F0}">
      <formula1>checkname</formula1>
    </dataValidation>
    <dataValidation type="list" showInputMessage="1" showErrorMessage="1" sqref="A2" xr:uid="{A9604AD0-F956-4ACF-A773-5DFE10FC4053}">
      <formula1>checkname</formula1>
    </dataValidation>
    <dataValidation type="list" allowBlank="1" showErrorMessage="1" sqref="C8" xr:uid="{6AAC2075-75E1-4A75-81B7-EA0EC188F08E}">
      <formula1>checkname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3">
          <controlPr defaultSize="0" autoLine="0" r:id="rId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2054" r:id="rId4" name="CommandButton3"/>
      </mc:Fallback>
    </mc:AlternateContent>
    <mc:AlternateContent xmlns:mc="http://schemas.openxmlformats.org/markup-compatibility/2006">
      <mc:Choice Requires="x14">
        <control shapeId="2053" r:id="rId6" name="CommandButton2">
          <controlPr defaultSize="0" autoLine="0" autoPict="0" r:id="rId7">
            <anchor moveWithCells="1">
              <from>
                <xdr:col>0</xdr:col>
                <xdr:colOff>2000250</xdr:colOff>
                <xdr:row>25</xdr:row>
                <xdr:rowOff>0</xdr:rowOff>
              </from>
              <to>
                <xdr:col>0</xdr:col>
                <xdr:colOff>2714625</xdr:colOff>
                <xdr:row>27</xdr:row>
                <xdr:rowOff>0</xdr:rowOff>
              </to>
            </anchor>
          </controlPr>
        </control>
      </mc:Choice>
      <mc:Fallback>
        <control shapeId="2053" r:id="rId6" name="CommandButton2"/>
      </mc:Fallback>
    </mc:AlternateContent>
    <mc:AlternateContent xmlns:mc="http://schemas.openxmlformats.org/markup-compatibility/2006">
      <mc:Choice Requires="x14">
        <control shapeId="2052" r:id="rId8" name="CommandButton1">
          <controlPr defaultSize="0" autoLine="0" r:id="rId9">
            <anchor moveWithCells="1">
              <from>
                <xdr:col>0</xdr:col>
                <xdr:colOff>142875</xdr:colOff>
                <xdr:row>25</xdr:row>
                <xdr:rowOff>0</xdr:rowOff>
              </from>
              <to>
                <xdr:col>0</xdr:col>
                <xdr:colOff>1962150</xdr:colOff>
                <xdr:row>27</xdr:row>
                <xdr:rowOff>0</xdr:rowOff>
              </to>
            </anchor>
          </controlPr>
        </control>
      </mc:Choice>
      <mc:Fallback>
        <control shapeId="2052" r:id="rId8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CFFFF"/>
  </sheetPr>
  <dimension ref="A1:V83"/>
  <sheetViews>
    <sheetView tabSelected="1" topLeftCell="H1" zoomScale="221" zoomScaleNormal="221" workbookViewId="0">
      <selection activeCell="Q4" sqref="Q4"/>
    </sheetView>
  </sheetViews>
  <sheetFormatPr defaultRowHeight="15" x14ac:dyDescent="0.25"/>
  <cols>
    <col min="1" max="1" width="1.7109375" style="2" hidden="1" customWidth="1"/>
    <col min="2" max="2" width="30.28515625" style="2" hidden="1" customWidth="1"/>
    <col min="3" max="3" width="28.28515625" style="2" hidden="1" customWidth="1"/>
    <col min="4" max="4" width="29.85546875" style="2" hidden="1" customWidth="1"/>
    <col min="5" max="6" width="9.140625" style="2" hidden="1" customWidth="1"/>
    <col min="7" max="7" width="27.42578125" style="2" hidden="1" customWidth="1"/>
    <col min="8" max="8" width="4.7109375" style="2" customWidth="1"/>
    <col min="9" max="21" width="9.140625" style="2" customWidth="1"/>
    <col min="22" max="22" width="30.7109375" style="2" customWidth="1"/>
    <col min="23" max="26" width="7.7109375" style="2" customWidth="1"/>
    <col min="27" max="16384" width="9.140625" style="2"/>
  </cols>
  <sheetData>
    <row r="1" spans="2:22" ht="24.95" customHeight="1" x14ac:dyDescent="0.25">
      <c r="B1" s="1" t="s">
        <v>12</v>
      </c>
      <c r="C1" s="1" t="s">
        <v>13</v>
      </c>
      <c r="D1" s="2" t="s">
        <v>14</v>
      </c>
    </row>
    <row r="2" spans="2:22" ht="30" customHeight="1" thickBot="1" x14ac:dyDescent="0.3">
      <c r="B2" s="2" t="str">
        <f>IF(ISBLANK('List of Teams'!B2),"",'List of Teams'!B2)</f>
        <v>University of team 1</v>
      </c>
      <c r="C2" s="2">
        <f>COUNTIF($B$2:$B$65,"&lt;="&amp;B2)</f>
        <v>29</v>
      </c>
      <c r="D2" s="2" t="e">
        <f>INDEX($B$2:$B$65,MATCH(ROWS($C$2:C2),$C$2:$C$65,0))</f>
        <v>#N/A</v>
      </c>
      <c r="E2" s="2">
        <f>--ISNUMBER(IFERROR(SEARCH($E$1,D2,1),""))</f>
        <v>0</v>
      </c>
      <c r="F2" s="2" t="str">
        <f>IF(E2=1,COUNTIF($E$2:E2,1),"")</f>
        <v/>
      </c>
      <c r="G2" s="2" t="str">
        <f>IFERROR(INDEX($D$2:$D$65,MATCH(ROWS($F$2:F2),$F$2:$F$65,0)),"")</f>
        <v>University of team 1</v>
      </c>
    </row>
    <row r="3" spans="2:22" ht="50.1" customHeight="1" thickTop="1" thickBot="1" x14ac:dyDescent="0.3">
      <c r="B3" s="2" t="str">
        <f>IF(ISBLANK('List of Teams'!B3),"",'List of Teams'!B3)</f>
        <v>University of team 2</v>
      </c>
      <c r="C3" s="2">
        <f t="shared" ref="C3:C65" si="0">COUNTIF($B$2:$B$65,"&lt;="&amp;B3)</f>
        <v>40</v>
      </c>
      <c r="D3" s="2" t="e">
        <f>INDEX($B$2:$B$65,MATCH(ROWS($C$2:C3),$C$2:$C$65,0))</f>
        <v>#N/A</v>
      </c>
      <c r="E3" s="2">
        <f t="shared" ref="E3:E65" si="1">--ISNUMBER(IFERROR(SEARCH($E$1,D3,1),""))</f>
        <v>0</v>
      </c>
      <c r="F3" s="2" t="str">
        <f>IF(E3=1,COUNTIF($E$2:E3,1),"")</f>
        <v/>
      </c>
      <c r="G3" s="2" t="str">
        <f>IFERROR(INDEX($D$2:$D$65,MATCH(ROWS($F$2:F3),$F$2:$F$65,0)),"")</f>
        <v>University of team 10</v>
      </c>
      <c r="I3" s="289"/>
      <c r="J3" s="290"/>
      <c r="K3" s="295"/>
      <c r="L3" s="296"/>
      <c r="M3" s="3"/>
      <c r="V3" s="46"/>
    </row>
    <row r="4" spans="2:22" ht="50.1" customHeight="1" thickTop="1" thickBot="1" x14ac:dyDescent="0.3">
      <c r="B4" s="2" t="str">
        <f>IF(ISBLANK('List of Teams'!B4),"",'List of Teams'!B4)</f>
        <v>University of team 3</v>
      </c>
      <c r="C4" s="2">
        <f t="shared" si="0"/>
        <v>51</v>
      </c>
      <c r="D4" s="2" t="e">
        <f>INDEX($B$2:$B$65,MATCH(ROWS($C$2:C4),$C$2:$C$65,0))</f>
        <v>#N/A</v>
      </c>
      <c r="E4" s="2">
        <f t="shared" si="1"/>
        <v>0</v>
      </c>
      <c r="F4" s="2" t="str">
        <f>IF(E4=1,COUNTIF($E$2:E4,1),"")</f>
        <v/>
      </c>
      <c r="G4" s="2" t="str">
        <f>IFERROR(INDEX($D$2:$D$65,MATCH(ROWS($F$2:F4),$F$2:$F$65,0)),"")</f>
        <v>University of team 11</v>
      </c>
      <c r="I4" s="291"/>
      <c r="J4" s="292"/>
      <c r="K4" s="278"/>
      <c r="L4" s="279"/>
      <c r="M4" s="284"/>
      <c r="N4" s="286"/>
      <c r="O4" s="3"/>
    </row>
    <row r="5" spans="2:22" ht="50.1" customHeight="1" thickTop="1" thickBot="1" x14ac:dyDescent="0.3">
      <c r="B5" s="2" t="str">
        <f>IF(ISBLANK('List of Teams'!B5),"",'List of Teams'!B5)</f>
        <v>University of team 4</v>
      </c>
      <c r="C5" s="2">
        <f t="shared" si="0"/>
        <v>59</v>
      </c>
      <c r="D5" s="2" t="e">
        <f>INDEX($B$2:$B$65,MATCH(ROWS($C$2:C5),$C$2:$C$65,0))</f>
        <v>#N/A</v>
      </c>
      <c r="E5" s="2">
        <f t="shared" si="1"/>
        <v>0</v>
      </c>
      <c r="F5" s="2" t="str">
        <f>IF(E5=1,COUNTIF($E$2:E5,1),"")</f>
        <v/>
      </c>
      <c r="G5" s="2" t="str">
        <f>IFERROR(INDEX($D$2:$D$65,MATCH(ROWS($F$2:F5),$F$2:$F$65,0)),"")</f>
        <v>University of team 12</v>
      </c>
      <c r="I5" s="291"/>
      <c r="J5" s="292"/>
      <c r="K5" s="280"/>
      <c r="L5" s="281"/>
      <c r="M5" s="282"/>
      <c r="N5" s="279"/>
      <c r="O5" s="284"/>
      <c r="P5" s="287"/>
      <c r="Q5" s="3"/>
    </row>
    <row r="6" spans="2:22" ht="50.1" customHeight="1" thickTop="1" thickBot="1" x14ac:dyDescent="0.3">
      <c r="B6" s="2" t="str">
        <f>IF(ISBLANK('List of Teams'!B6),"",'List of Teams'!B6)</f>
        <v>University of team 5</v>
      </c>
      <c r="C6" s="2">
        <f t="shared" si="0"/>
        <v>60</v>
      </c>
      <c r="D6" s="2" t="e">
        <f>INDEX($B$2:$B$65,MATCH(ROWS($C$2:C6),$C$2:$C$65,0))</f>
        <v>#N/A</v>
      </c>
      <c r="E6" s="2">
        <f t="shared" si="1"/>
        <v>0</v>
      </c>
      <c r="F6" s="2" t="str">
        <f>IF(E6=1,COUNTIF($E$2:E6,1),"")</f>
        <v/>
      </c>
      <c r="G6" s="2" t="str">
        <f>IFERROR(INDEX($D$2:$D$65,MATCH(ROWS($F$2:F6),$F$2:$F$65,0)),"")</f>
        <v>University of team 13</v>
      </c>
      <c r="I6" s="291"/>
      <c r="J6" s="292"/>
      <c r="K6" s="280"/>
      <c r="L6" s="281"/>
      <c r="M6" s="283"/>
      <c r="N6" s="281"/>
      <c r="O6" s="282"/>
      <c r="P6" s="279"/>
      <c r="Q6" s="284"/>
      <c r="R6" s="288"/>
      <c r="S6" s="3"/>
    </row>
    <row r="7" spans="2:22" ht="50.1" customHeight="1" thickTop="1" thickBot="1" x14ac:dyDescent="0.3">
      <c r="B7" s="2" t="str">
        <f>IF(ISBLANK('List of Teams'!B7),"",'List of Teams'!B7)</f>
        <v>University of team 6</v>
      </c>
      <c r="C7" s="2">
        <f t="shared" si="0"/>
        <v>61</v>
      </c>
      <c r="D7" s="2" t="e">
        <f>INDEX($B$2:$B$65,MATCH(ROWS($C$2:C7),$C$2:$C$65,0))</f>
        <v>#N/A</v>
      </c>
      <c r="E7" s="2">
        <f t="shared" si="1"/>
        <v>0</v>
      </c>
      <c r="F7" s="2" t="str">
        <f>IF(E7=1,COUNTIF($E$2:E7,1),"")</f>
        <v/>
      </c>
      <c r="G7" s="2" t="str">
        <f>IFERROR(INDEX($D$2:$D$65,MATCH(ROWS($F$2:F7),$F$2:$F$65,0)),"")</f>
        <v>University of team 14</v>
      </c>
      <c r="I7" s="293"/>
      <c r="J7" s="294"/>
      <c r="K7" s="32"/>
      <c r="L7" s="33"/>
      <c r="M7" s="34"/>
      <c r="N7" s="33"/>
      <c r="O7" s="34"/>
      <c r="P7" s="33"/>
      <c r="Q7" s="35"/>
      <c r="R7" s="36"/>
      <c r="S7" s="284"/>
      <c r="T7" s="285"/>
      <c r="U7" s="3"/>
    </row>
    <row r="8" spans="2:22" ht="5.0999999999999996" customHeight="1" thickTop="1" x14ac:dyDescent="0.25">
      <c r="B8" s="2" t="str">
        <f>IF(ISBLANK('List of Teams'!B8),"",'List of Teams'!B8)</f>
        <v>University of team 7</v>
      </c>
      <c r="C8" s="2">
        <f t="shared" si="0"/>
        <v>62</v>
      </c>
      <c r="D8" s="2" t="e">
        <f>INDEX($B$2:$B$65,MATCH(ROWS($C$2:C8),$C$2:$C$65,0))</f>
        <v>#N/A</v>
      </c>
      <c r="E8" s="2">
        <f t="shared" si="1"/>
        <v>0</v>
      </c>
      <c r="F8" s="2" t="str">
        <f>IF(E8=1,COUNTIF($E$2:E8,1),"")</f>
        <v/>
      </c>
      <c r="G8" s="2" t="str">
        <f>IFERROR(INDEX($D$2:$D$65,MATCH(ROWS($F$2:F8),$F$2:$F$65,0)),"")</f>
        <v>University of team 15</v>
      </c>
    </row>
    <row r="9" spans="2:22" ht="15" customHeight="1" x14ac:dyDescent="0.25">
      <c r="B9" s="2" t="str">
        <f>IF(ISBLANK('List of Teams'!B9),"",'List of Teams'!B9)</f>
        <v>University of team 8</v>
      </c>
      <c r="C9" s="2">
        <f t="shared" si="0"/>
        <v>63</v>
      </c>
      <c r="D9" s="2" t="e">
        <f>INDEX($B$2:$B$65,MATCH(ROWS($C$2:C9),$C$2:$C$65,0))</f>
        <v>#N/A</v>
      </c>
      <c r="E9" s="2">
        <f t="shared" si="1"/>
        <v>0</v>
      </c>
      <c r="F9" s="2" t="str">
        <f>IF(E9=1,COUNTIF($E$2:E9,1),"")</f>
        <v/>
      </c>
      <c r="G9" s="2" t="str">
        <f>IFERROR(INDEX($D$2:$D$65,MATCH(ROWS($F$2:F9),$F$2:$F$65,0)),"")</f>
        <v>University of team 16</v>
      </c>
      <c r="L9" s="50" t="s">
        <v>135</v>
      </c>
      <c r="M9" s="49" t="s">
        <v>134</v>
      </c>
    </row>
    <row r="10" spans="2:22" ht="15" customHeight="1" x14ac:dyDescent="0.25">
      <c r="B10" s="2" t="str">
        <f>IF(ISBLANK('List of Teams'!B10),"",'List of Teams'!B10)</f>
        <v>University of team 9</v>
      </c>
      <c r="C10" s="2">
        <f t="shared" si="0"/>
        <v>64</v>
      </c>
      <c r="D10" s="2" t="e">
        <f>INDEX($B$2:$B$65,MATCH(ROWS($C$2:C10),$C$2:$C$65,0))</f>
        <v>#N/A</v>
      </c>
      <c r="E10" s="2">
        <f t="shared" si="1"/>
        <v>0</v>
      </c>
      <c r="F10" s="2" t="str">
        <f>IF(E10=1,COUNTIF($E$2:E10,1),"")</f>
        <v/>
      </c>
      <c r="G10" s="2" t="str">
        <f>IFERROR(INDEX($D$2:$D$65,MATCH(ROWS($F$2:F10),$F$2:$F$65,0)),"")</f>
        <v>University of team 17</v>
      </c>
      <c r="L10" s="48" t="s">
        <v>130</v>
      </c>
      <c r="M10" s="47" t="s">
        <v>131</v>
      </c>
    </row>
    <row r="11" spans="2:22" ht="15" customHeight="1" x14ac:dyDescent="0.25">
      <c r="B11" s="2" t="str">
        <f>IF(ISBLANK('List of Teams'!B11),"",'List of Teams'!B11)</f>
        <v>University of team 10</v>
      </c>
      <c r="C11" s="2">
        <f t="shared" si="0"/>
        <v>30</v>
      </c>
      <c r="D11" s="2" t="e">
        <f>INDEX($B$2:$B$65,MATCH(ROWS($C$2:C11),$C$2:$C$65,0))</f>
        <v>#N/A</v>
      </c>
      <c r="E11" s="2">
        <f t="shared" si="1"/>
        <v>0</v>
      </c>
      <c r="F11" s="2" t="str">
        <f>IF(E11=1,COUNTIF($E$2:E11,1),"")</f>
        <v/>
      </c>
      <c r="G11" s="2" t="str">
        <f>IFERROR(INDEX($D$2:$D$65,MATCH(ROWS($F$2:F11),$F$2:$F$65,0)),"")</f>
        <v>University of team 18</v>
      </c>
      <c r="L11" s="48" t="s">
        <v>132</v>
      </c>
      <c r="M11" s="47" t="s">
        <v>133</v>
      </c>
    </row>
    <row r="12" spans="2:22" ht="15" customHeight="1" x14ac:dyDescent="0.25">
      <c r="B12" s="2" t="str">
        <f>IF(ISBLANK('List of Teams'!B12),"",'List of Teams'!B12)</f>
        <v>University of team 11</v>
      </c>
      <c r="C12" s="2">
        <f t="shared" si="0"/>
        <v>31</v>
      </c>
      <c r="D12" s="2" t="e">
        <f>INDEX($B$2:$B$65,MATCH(ROWS($C$2:C12),$C$2:$C$65,0))</f>
        <v>#N/A</v>
      </c>
      <c r="E12" s="2">
        <f t="shared" si="1"/>
        <v>0</v>
      </c>
      <c r="F12" s="2" t="str">
        <f>IF(E12=1,COUNTIF($E$2:E12,1),"")</f>
        <v/>
      </c>
      <c r="G12" s="2" t="str">
        <f>IFERROR(INDEX($D$2:$D$65,MATCH(ROWS($F$2:F12),$F$2:$F$65,0)),"")</f>
        <v>University of team 19</v>
      </c>
    </row>
    <row r="13" spans="2:22" x14ac:dyDescent="0.25">
      <c r="B13" s="2" t="str">
        <f>IF(ISBLANK('List of Teams'!B13),"",'List of Teams'!B13)</f>
        <v>University of team 12</v>
      </c>
      <c r="C13" s="2">
        <f t="shared" si="0"/>
        <v>32</v>
      </c>
      <c r="D13" s="2" t="e">
        <f>INDEX($B$2:$B$65,MATCH(ROWS($C$2:C13),$C$2:$C$65,0))</f>
        <v>#N/A</v>
      </c>
      <c r="E13" s="2">
        <f t="shared" si="1"/>
        <v>0</v>
      </c>
      <c r="F13" s="2" t="str">
        <f>IF(E13=1,COUNTIF($E$2:E13,1),"")</f>
        <v/>
      </c>
      <c r="G13" s="2" t="str">
        <f>IFERROR(INDEX($D$2:$D$65,MATCH(ROWS($F$2:F13),$F$2:$F$65,0)),"")</f>
        <v>University of team 2</v>
      </c>
    </row>
    <row r="14" spans="2:22" x14ac:dyDescent="0.25">
      <c r="B14" s="2" t="str">
        <f>IF(ISBLANK('List of Teams'!B14),"",'List of Teams'!B14)</f>
        <v>University of team 13</v>
      </c>
      <c r="C14" s="2">
        <f t="shared" si="0"/>
        <v>33</v>
      </c>
      <c r="D14" s="2" t="e">
        <f>INDEX($B$2:$B$65,MATCH(ROWS($C$2:C14),$C$2:$C$65,0))</f>
        <v>#N/A</v>
      </c>
      <c r="E14" s="2">
        <f t="shared" si="1"/>
        <v>0</v>
      </c>
      <c r="F14" s="2" t="str">
        <f>IF(E14=1,COUNTIF($E$2:E14,1),"")</f>
        <v/>
      </c>
      <c r="G14" s="2" t="str">
        <f>IFERROR(INDEX($D$2:$D$65,MATCH(ROWS($F$2:F14),$F$2:$F$65,0)),"")</f>
        <v>University of team 20</v>
      </c>
    </row>
    <row r="15" spans="2:22" x14ac:dyDescent="0.25">
      <c r="B15" s="2" t="str">
        <f>IF(ISBLANK('List of Teams'!B15),"",'List of Teams'!B15)</f>
        <v>University of team 14</v>
      </c>
      <c r="C15" s="2">
        <f t="shared" si="0"/>
        <v>34</v>
      </c>
      <c r="D15" s="2" t="e">
        <f>INDEX($B$2:$B$65,MATCH(ROWS($C$2:C15),$C$2:$C$65,0))</f>
        <v>#N/A</v>
      </c>
      <c r="E15" s="2">
        <f t="shared" si="1"/>
        <v>0</v>
      </c>
      <c r="F15" s="2" t="str">
        <f>IF(E15=1,COUNTIF($E$2:E15,1),"")</f>
        <v/>
      </c>
      <c r="G15" s="2" t="str">
        <f>IFERROR(INDEX($D$2:$D$65,MATCH(ROWS($F$2:F15),$F$2:$F$65,0)),"")</f>
        <v>University of team 21</v>
      </c>
    </row>
    <row r="16" spans="2:22" x14ac:dyDescent="0.25">
      <c r="B16" s="2" t="str">
        <f>IF(ISBLANK('List of Teams'!B16),"",'List of Teams'!B16)</f>
        <v>University of team 15</v>
      </c>
      <c r="C16" s="2">
        <f t="shared" si="0"/>
        <v>35</v>
      </c>
      <c r="D16" s="2" t="e">
        <f>INDEX($B$2:$B$65,MATCH(ROWS($C$2:C16),$C$2:$C$65,0))</f>
        <v>#N/A</v>
      </c>
      <c r="E16" s="2">
        <f t="shared" si="1"/>
        <v>0</v>
      </c>
      <c r="F16" s="2" t="str">
        <f>IF(E16=1,COUNTIF($E$2:E16,1),"")</f>
        <v/>
      </c>
      <c r="G16" s="2" t="str">
        <f>IFERROR(INDEX($D$2:$D$65,MATCH(ROWS($F$2:F16),$F$2:$F$65,0)),"")</f>
        <v>University of team 22</v>
      </c>
    </row>
    <row r="17" spans="2:7" x14ac:dyDescent="0.25">
      <c r="B17" s="2" t="str">
        <f>IF(ISBLANK('List of Teams'!B17),"",'List of Teams'!B17)</f>
        <v>University of team 16</v>
      </c>
      <c r="C17" s="2">
        <f t="shared" si="0"/>
        <v>36</v>
      </c>
      <c r="D17" s="2" t="e">
        <f>INDEX($B$2:$B$65,MATCH(ROWS($C$2:C17),$C$2:$C$65,0))</f>
        <v>#N/A</v>
      </c>
      <c r="E17" s="2">
        <f t="shared" si="1"/>
        <v>0</v>
      </c>
      <c r="F17" s="2" t="str">
        <f>IF(E17=1,COUNTIF($E$2:E17,1),"")</f>
        <v/>
      </c>
      <c r="G17" s="2" t="str">
        <f>IFERROR(INDEX($D$2:$D$65,MATCH(ROWS($F$2:F17),$F$2:$F$65,0)),"")</f>
        <v>University of team 23</v>
      </c>
    </row>
    <row r="18" spans="2:7" x14ac:dyDescent="0.25">
      <c r="B18" s="2" t="str">
        <f>IF(ISBLANK('List of Teams'!B18),"",'List of Teams'!B18)</f>
        <v>University of team 17</v>
      </c>
      <c r="C18" s="2">
        <f t="shared" si="0"/>
        <v>37</v>
      </c>
      <c r="D18" s="2" t="e">
        <f>INDEX($B$2:$B$65,MATCH(ROWS($C$2:C18),$C$2:$C$65,0))</f>
        <v>#N/A</v>
      </c>
      <c r="E18" s="2">
        <f t="shared" si="1"/>
        <v>0</v>
      </c>
      <c r="F18" s="2" t="str">
        <f>IF(E18=1,COUNTIF($E$2:E18,1),"")</f>
        <v/>
      </c>
      <c r="G18" s="2" t="str">
        <f>IFERROR(INDEX($D$2:$D$65,MATCH(ROWS($F$2:F18),$F$2:$F$65,0)),"")</f>
        <v>University of team 24</v>
      </c>
    </row>
    <row r="19" spans="2:7" x14ac:dyDescent="0.25">
      <c r="B19" s="2" t="str">
        <f>IF(ISBLANK('List of Teams'!B19),"",'List of Teams'!B19)</f>
        <v>University of team 18</v>
      </c>
      <c r="C19" s="2">
        <f t="shared" si="0"/>
        <v>38</v>
      </c>
      <c r="D19" s="2" t="e">
        <f>INDEX($B$2:$B$65,MATCH(ROWS($C$2:C19),$C$2:$C$65,0))</f>
        <v>#N/A</v>
      </c>
      <c r="E19" s="2">
        <f t="shared" si="1"/>
        <v>0</v>
      </c>
      <c r="F19" s="2" t="str">
        <f>IF(E19=1,COUNTIF($E$2:E19,1),"")</f>
        <v/>
      </c>
      <c r="G19" s="2" t="str">
        <f>IFERROR(INDEX($D$2:$D$65,MATCH(ROWS($F$2:F19),$F$2:$F$65,0)),"")</f>
        <v>University of team 25</v>
      </c>
    </row>
    <row r="20" spans="2:7" x14ac:dyDescent="0.25">
      <c r="B20" s="2" t="str">
        <f>IF(ISBLANK('List of Teams'!B20),"",'List of Teams'!B20)</f>
        <v>University of team 19</v>
      </c>
      <c r="C20" s="2">
        <f t="shared" si="0"/>
        <v>39</v>
      </c>
      <c r="D20" s="2" t="e">
        <f>INDEX($B$2:$B$65,MATCH(ROWS($C$2:C20),$C$2:$C$65,0))</f>
        <v>#N/A</v>
      </c>
      <c r="E20" s="2">
        <f t="shared" si="1"/>
        <v>0</v>
      </c>
      <c r="F20" s="2" t="str">
        <f>IF(E20=1,COUNTIF($E$2:E20,1),"")</f>
        <v/>
      </c>
      <c r="G20" s="2" t="str">
        <f>IFERROR(INDEX($D$2:$D$65,MATCH(ROWS($F$2:F20),$F$2:$F$65,0)),"")</f>
        <v>University of team 26</v>
      </c>
    </row>
    <row r="21" spans="2:7" x14ac:dyDescent="0.25">
      <c r="B21" s="2" t="str">
        <f>IF(ISBLANK('List of Teams'!B21),"",'List of Teams'!B21)</f>
        <v>University of team 20</v>
      </c>
      <c r="C21" s="2">
        <f t="shared" si="0"/>
        <v>41</v>
      </c>
      <c r="D21" s="2" t="e">
        <f>INDEX($B$2:$B$65,MATCH(ROWS($C$2:C21),$C$2:$C$65,0))</f>
        <v>#N/A</v>
      </c>
      <c r="E21" s="2">
        <f t="shared" si="1"/>
        <v>0</v>
      </c>
      <c r="F21" s="2" t="str">
        <f>IF(E21=1,COUNTIF($E$2:E21,1),"")</f>
        <v/>
      </c>
      <c r="G21" s="2" t="str">
        <f>IFERROR(INDEX($D$2:$D$65,MATCH(ROWS($F$2:F21),$F$2:$F$65,0)),"")</f>
        <v>University of team 27</v>
      </c>
    </row>
    <row r="22" spans="2:7" x14ac:dyDescent="0.25">
      <c r="B22" s="2" t="str">
        <f>IF(ISBLANK('List of Teams'!B22),"",'List of Teams'!B22)</f>
        <v>University of team 21</v>
      </c>
      <c r="C22" s="2">
        <f t="shared" si="0"/>
        <v>42</v>
      </c>
      <c r="D22" s="2" t="e">
        <f>INDEX($B$2:$B$65,MATCH(ROWS($C$2:C22),$C$2:$C$65,0))</f>
        <v>#N/A</v>
      </c>
      <c r="E22" s="2">
        <f t="shared" si="1"/>
        <v>0</v>
      </c>
      <c r="F22" s="2" t="str">
        <f>IF(E22=1,COUNTIF($E$2:E22,1),"")</f>
        <v/>
      </c>
      <c r="G22" s="2" t="str">
        <f>IFERROR(INDEX($D$2:$D$65,MATCH(ROWS($F$2:F22),$F$2:$F$65,0)),"")</f>
        <v>University of team 28</v>
      </c>
    </row>
    <row r="23" spans="2:7" x14ac:dyDescent="0.25">
      <c r="B23" s="2" t="str">
        <f>IF(ISBLANK('List of Teams'!B23),"",'List of Teams'!B23)</f>
        <v>University of team 22</v>
      </c>
      <c r="C23" s="2">
        <f t="shared" si="0"/>
        <v>43</v>
      </c>
      <c r="D23" s="2" t="e">
        <f>INDEX($B$2:$B$65,MATCH(ROWS($C$2:C23),$C$2:$C$65,0))</f>
        <v>#N/A</v>
      </c>
      <c r="E23" s="2">
        <f t="shared" si="1"/>
        <v>0</v>
      </c>
      <c r="F23" s="2" t="str">
        <f>IF(E23=1,COUNTIF($E$2:E23,1),"")</f>
        <v/>
      </c>
      <c r="G23" s="2" t="str">
        <f>IFERROR(INDEX($D$2:$D$65,MATCH(ROWS($F$2:F23),$F$2:$F$65,0)),"")</f>
        <v>University of team 29</v>
      </c>
    </row>
    <row r="24" spans="2:7" x14ac:dyDescent="0.25">
      <c r="B24" s="2" t="str">
        <f>IF(ISBLANK('List of Teams'!B24),"",'List of Teams'!B24)</f>
        <v>University of team 23</v>
      </c>
      <c r="C24" s="2">
        <f t="shared" si="0"/>
        <v>44</v>
      </c>
      <c r="D24" s="2" t="e">
        <f>INDEX($B$2:$B$65,MATCH(ROWS($C$2:C24),$C$2:$C$65,0))</f>
        <v>#N/A</v>
      </c>
      <c r="E24" s="2">
        <f t="shared" si="1"/>
        <v>0</v>
      </c>
      <c r="F24" s="2" t="str">
        <f>IF(E24=1,COUNTIF($E$2:E24,1),"")</f>
        <v/>
      </c>
      <c r="G24" s="2" t="str">
        <f>IFERROR(INDEX($D$2:$D$65,MATCH(ROWS($F$2:F24),$F$2:$F$65,0)),"")</f>
        <v>University of team 3</v>
      </c>
    </row>
    <row r="25" spans="2:7" x14ac:dyDescent="0.25">
      <c r="B25" s="2" t="str">
        <f>IF(ISBLANK('List of Teams'!B25),"",'List of Teams'!B25)</f>
        <v>University of team 24</v>
      </c>
      <c r="C25" s="2">
        <f t="shared" si="0"/>
        <v>45</v>
      </c>
      <c r="D25" s="2" t="e">
        <f>INDEX($B$2:$B$65,MATCH(ROWS($C$2:C25),$C$2:$C$65,0))</f>
        <v>#N/A</v>
      </c>
      <c r="E25" s="2">
        <f t="shared" si="1"/>
        <v>0</v>
      </c>
      <c r="F25" s="2" t="str">
        <f>IF(E25=1,COUNTIF($E$2:E25,1),"")</f>
        <v/>
      </c>
      <c r="G25" s="2" t="str">
        <f>IFERROR(INDEX($D$2:$D$65,MATCH(ROWS($F$2:F25),$F$2:$F$65,0)),"")</f>
        <v>University of team 30</v>
      </c>
    </row>
    <row r="26" spans="2:7" x14ac:dyDescent="0.25">
      <c r="B26" s="2" t="str">
        <f>IF(ISBLANK('List of Teams'!B26),"",'List of Teams'!B26)</f>
        <v>University of team 25</v>
      </c>
      <c r="C26" s="2">
        <f t="shared" si="0"/>
        <v>46</v>
      </c>
      <c r="D26" s="2" t="e">
        <f>INDEX($B$2:$B$65,MATCH(ROWS($C$2:C26),$C$2:$C$65,0))</f>
        <v>#N/A</v>
      </c>
      <c r="E26" s="2">
        <f t="shared" si="1"/>
        <v>0</v>
      </c>
      <c r="F26" s="2" t="str">
        <f>IF(E26=1,COUNTIF($E$2:E26,1),"")</f>
        <v/>
      </c>
      <c r="G26" s="2" t="str">
        <f>IFERROR(INDEX($D$2:$D$65,MATCH(ROWS($F$2:F26),$F$2:$F$65,0)),"")</f>
        <v>University of team 31</v>
      </c>
    </row>
    <row r="27" spans="2:7" x14ac:dyDescent="0.25">
      <c r="B27" s="2" t="str">
        <f>IF(ISBLANK('List of Teams'!B27),"",'List of Teams'!B27)</f>
        <v>University of team 26</v>
      </c>
      <c r="C27" s="2">
        <f t="shared" si="0"/>
        <v>47</v>
      </c>
      <c r="D27" s="2" t="e">
        <f>INDEX($B$2:$B$65,MATCH(ROWS($C$2:C27),$C$2:$C$65,0))</f>
        <v>#N/A</v>
      </c>
      <c r="E27" s="2">
        <f t="shared" si="1"/>
        <v>0</v>
      </c>
      <c r="F27" s="2" t="str">
        <f>IF(E27=1,COUNTIF($E$2:E27,1),"")</f>
        <v/>
      </c>
      <c r="G27" s="2" t="str">
        <f>IFERROR(INDEX($D$2:$D$65,MATCH(ROWS($F$2:F27),$F$2:$F$65,0)),"")</f>
        <v>University of team 32</v>
      </c>
    </row>
    <row r="28" spans="2:7" x14ac:dyDescent="0.25">
      <c r="B28" s="2" t="str">
        <f>IF(ISBLANK('List of Teams'!B28),"",'List of Teams'!B28)</f>
        <v>University of team 27</v>
      </c>
      <c r="C28" s="2">
        <f t="shared" si="0"/>
        <v>48</v>
      </c>
      <c r="D28" s="2" t="e">
        <f>INDEX($B$2:$B$65,MATCH(ROWS($C$2:C28),$C$2:$C$65,0))</f>
        <v>#N/A</v>
      </c>
      <c r="E28" s="2">
        <f t="shared" si="1"/>
        <v>0</v>
      </c>
      <c r="F28" s="2" t="str">
        <f>IF(E28=1,COUNTIF($E$2:E28,1),"")</f>
        <v/>
      </c>
      <c r="G28" s="2" t="str">
        <f>IFERROR(INDEX($D$2:$D$65,MATCH(ROWS($F$2:F28),$F$2:$F$65,0)),"")</f>
        <v>University of team 33</v>
      </c>
    </row>
    <row r="29" spans="2:7" x14ac:dyDescent="0.25">
      <c r="B29" s="2" t="str">
        <f>IF(ISBLANK('List of Teams'!B29),"",'List of Teams'!B29)</f>
        <v>University of team 28</v>
      </c>
      <c r="C29" s="2">
        <f t="shared" si="0"/>
        <v>49</v>
      </c>
      <c r="D29" s="2" t="e">
        <f>INDEX($B$2:$B$65,MATCH(ROWS($C$2:C29),$C$2:$C$65,0))</f>
        <v>#N/A</v>
      </c>
      <c r="E29" s="2">
        <f t="shared" si="1"/>
        <v>0</v>
      </c>
      <c r="F29" s="2" t="str">
        <f>IF(E29=1,COUNTIF($E$2:E29,1),"")</f>
        <v/>
      </c>
      <c r="G29" s="2" t="str">
        <f>IFERROR(INDEX($D$2:$D$65,MATCH(ROWS($F$2:F29),$F$2:$F$65,0)),"")</f>
        <v>University of team 34</v>
      </c>
    </row>
    <row r="30" spans="2:7" x14ac:dyDescent="0.25">
      <c r="B30" s="2" t="str">
        <f>IF(ISBLANK('List of Teams'!B30),"",'List of Teams'!B30)</f>
        <v>University of team 29</v>
      </c>
      <c r="C30" s="2">
        <f t="shared" si="0"/>
        <v>50</v>
      </c>
      <c r="D30" s="2" t="str">
        <f>INDEX($B$2:$B$65,MATCH(ROWS($C$2:C30),$C$2:$C$65,0))</f>
        <v>University of team 1</v>
      </c>
      <c r="E30" s="2">
        <f t="shared" si="1"/>
        <v>1</v>
      </c>
      <c r="F30" s="2">
        <f>IF(E30=1,COUNTIF($E$2:E30,1),"")</f>
        <v>1</v>
      </c>
      <c r="G30" s="2" t="str">
        <f>IFERROR(INDEX($D$2:$D$65,MATCH(ROWS($F$2:F30),$F$2:$F$65,0)),"")</f>
        <v>University of team 35</v>
      </c>
    </row>
    <row r="31" spans="2:7" x14ac:dyDescent="0.25">
      <c r="B31" s="2" t="str">
        <f>IF(ISBLANK('List of Teams'!B31),"",'List of Teams'!B31)</f>
        <v>University of team 30</v>
      </c>
      <c r="C31" s="2">
        <f t="shared" si="0"/>
        <v>52</v>
      </c>
      <c r="D31" s="2" t="str">
        <f>INDEX($B$2:$B$65,MATCH(ROWS($C$2:C31),$C$2:$C$65,0))</f>
        <v>University of team 10</v>
      </c>
      <c r="E31" s="2">
        <f t="shared" si="1"/>
        <v>1</v>
      </c>
      <c r="F31" s="2">
        <f>IF(E31=1,COUNTIF($E$2:E31,1),"")</f>
        <v>2</v>
      </c>
      <c r="G31" s="2" t="str">
        <f>IFERROR(INDEX($D$2:$D$65,MATCH(ROWS($F$2:F31),$F$2:$F$65,0)),"")</f>
        <v>University of team 36</v>
      </c>
    </row>
    <row r="32" spans="2:7" x14ac:dyDescent="0.25">
      <c r="B32" s="2" t="str">
        <f>IF(ISBLANK('List of Teams'!B32),"",'List of Teams'!B32)</f>
        <v>University of team 31</v>
      </c>
      <c r="C32" s="2">
        <f t="shared" si="0"/>
        <v>53</v>
      </c>
      <c r="D32" s="2" t="str">
        <f>INDEX($B$2:$B$65,MATCH(ROWS($C$2:C32),$C$2:$C$65,0))</f>
        <v>University of team 11</v>
      </c>
      <c r="E32" s="2">
        <f t="shared" si="1"/>
        <v>1</v>
      </c>
      <c r="F32" s="2">
        <f>IF(E32=1,COUNTIF($E$2:E32,1),"")</f>
        <v>3</v>
      </c>
      <c r="G32" s="2" t="str">
        <f>IFERROR(INDEX($D$2:$D$65,MATCH(ROWS($F$2:F32),$F$2:$F$65,0)),"")</f>
        <v>University of team 4</v>
      </c>
    </row>
    <row r="33" spans="2:7" x14ac:dyDescent="0.25">
      <c r="B33" s="2" t="str">
        <f>IF(ISBLANK('List of Teams'!B33),"",'List of Teams'!B33)</f>
        <v>University of team 32</v>
      </c>
      <c r="C33" s="2">
        <f t="shared" si="0"/>
        <v>54</v>
      </c>
      <c r="D33" s="2" t="str">
        <f>INDEX($B$2:$B$65,MATCH(ROWS($C$2:C33),$C$2:$C$65,0))</f>
        <v>University of team 12</v>
      </c>
      <c r="E33" s="2">
        <f t="shared" si="1"/>
        <v>1</v>
      </c>
      <c r="F33" s="2">
        <f>IF(E33=1,COUNTIF($E$2:E33,1),"")</f>
        <v>4</v>
      </c>
      <c r="G33" s="2" t="str">
        <f>IFERROR(INDEX($D$2:$D$65,MATCH(ROWS($F$2:F33),$F$2:$F$65,0)),"")</f>
        <v>University of team 5</v>
      </c>
    </row>
    <row r="34" spans="2:7" x14ac:dyDescent="0.25">
      <c r="B34" s="2" t="str">
        <f>IF(ISBLANK('List of Teams'!B34),"",'List of Teams'!B34)</f>
        <v>University of team 33</v>
      </c>
      <c r="C34" s="2">
        <f t="shared" si="0"/>
        <v>55</v>
      </c>
      <c r="D34" s="2" t="str">
        <f>INDEX($B$2:$B$65,MATCH(ROWS($C$2:C34),$C$2:$C$65,0))</f>
        <v>University of team 13</v>
      </c>
      <c r="E34" s="2">
        <f t="shared" si="1"/>
        <v>1</v>
      </c>
      <c r="F34" s="2">
        <f>IF(E34=1,COUNTIF($E$2:E34,1),"")</f>
        <v>5</v>
      </c>
      <c r="G34" s="2" t="str">
        <f>IFERROR(INDEX($D$2:$D$65,MATCH(ROWS($F$2:F34),$F$2:$F$65,0)),"")</f>
        <v>University of team 6</v>
      </c>
    </row>
    <row r="35" spans="2:7" x14ac:dyDescent="0.25">
      <c r="B35" s="2" t="str">
        <f>IF(ISBLANK('List of Teams'!B35),"",'List of Teams'!B35)</f>
        <v>University of team 34</v>
      </c>
      <c r="C35" s="2">
        <f t="shared" si="0"/>
        <v>56</v>
      </c>
      <c r="D35" s="2" t="str">
        <f>INDEX($B$2:$B$65,MATCH(ROWS($C$2:C35),$C$2:$C$65,0))</f>
        <v>University of team 14</v>
      </c>
      <c r="E35" s="2">
        <f t="shared" si="1"/>
        <v>1</v>
      </c>
      <c r="F35" s="2">
        <f>IF(E35=1,COUNTIF($E$2:E35,1),"")</f>
        <v>6</v>
      </c>
      <c r="G35" s="2" t="str">
        <f>IFERROR(INDEX($D$2:$D$65,MATCH(ROWS($F$2:F35),$F$2:$F$65,0)),"")</f>
        <v>University of team 7</v>
      </c>
    </row>
    <row r="36" spans="2:7" x14ac:dyDescent="0.25">
      <c r="B36" s="2" t="str">
        <f>IF(ISBLANK('List of Teams'!B36),"",'List of Teams'!B36)</f>
        <v>University of team 35</v>
      </c>
      <c r="C36" s="2">
        <f t="shared" si="0"/>
        <v>57</v>
      </c>
      <c r="D36" s="2" t="str">
        <f>INDEX($B$2:$B$65,MATCH(ROWS($C$2:C36),$C$2:$C$65,0))</f>
        <v>University of team 15</v>
      </c>
      <c r="E36" s="2">
        <f t="shared" si="1"/>
        <v>1</v>
      </c>
      <c r="F36" s="2">
        <f>IF(E36=1,COUNTIF($E$2:E36,1),"")</f>
        <v>7</v>
      </c>
      <c r="G36" s="2" t="str">
        <f>IFERROR(INDEX($D$2:$D$65,MATCH(ROWS($F$2:F36),$F$2:$F$65,0)),"")</f>
        <v>University of team 8</v>
      </c>
    </row>
    <row r="37" spans="2:7" x14ac:dyDescent="0.25">
      <c r="B37" s="2" t="str">
        <f>IF(ISBLANK('List of Teams'!B37),"",'List of Teams'!B37)</f>
        <v>University of team 36</v>
      </c>
      <c r="C37" s="2">
        <f t="shared" si="0"/>
        <v>58</v>
      </c>
      <c r="D37" s="2" t="str">
        <f>INDEX($B$2:$B$65,MATCH(ROWS($C$2:C37),$C$2:$C$65,0))</f>
        <v>University of team 16</v>
      </c>
      <c r="E37" s="2">
        <f t="shared" si="1"/>
        <v>1</v>
      </c>
      <c r="F37" s="2">
        <f>IF(E37=1,COUNTIF($E$2:E37,1),"")</f>
        <v>8</v>
      </c>
      <c r="G37" s="2" t="str">
        <f>IFERROR(INDEX($D$2:$D$65,MATCH(ROWS($F$2:F37),$F$2:$F$65,0)),"")</f>
        <v>University of team 9</v>
      </c>
    </row>
    <row r="38" spans="2:7" x14ac:dyDescent="0.25">
      <c r="B38" s="2" t="str">
        <f>IF(ISBLANK('List of Teams'!B38),"",'List of Teams'!B38)</f>
        <v/>
      </c>
      <c r="C38" s="2">
        <f t="shared" si="0"/>
        <v>0</v>
      </c>
      <c r="D38" s="2" t="str">
        <f>INDEX($B$2:$B$65,MATCH(ROWS($C$2:C38),$C$2:$C$65,0))</f>
        <v>University of team 17</v>
      </c>
      <c r="E38" s="2">
        <f t="shared" si="1"/>
        <v>1</v>
      </c>
      <c r="F38" s="2">
        <f>IF(E38=1,COUNTIF($E$2:E38,1),"")</f>
        <v>9</v>
      </c>
      <c r="G38" s="2" t="str">
        <f>IFERROR(INDEX($D$2:$D$65,MATCH(ROWS($F$2:F38),$F$2:$F$65,0)),"")</f>
        <v/>
      </c>
    </row>
    <row r="39" spans="2:7" x14ac:dyDescent="0.25">
      <c r="B39" s="2" t="str">
        <f>IF(ISBLANK('List of Teams'!B39),"",'List of Teams'!B39)</f>
        <v/>
      </c>
      <c r="C39" s="2">
        <f t="shared" si="0"/>
        <v>0</v>
      </c>
      <c r="D39" s="2" t="str">
        <f>INDEX($B$2:$B$65,MATCH(ROWS($C$2:C39),$C$2:$C$65,0))</f>
        <v>University of team 18</v>
      </c>
      <c r="E39" s="2">
        <f t="shared" si="1"/>
        <v>1</v>
      </c>
      <c r="F39" s="2">
        <f>IF(E39=1,COUNTIF($E$2:E39,1),"")</f>
        <v>10</v>
      </c>
      <c r="G39" s="2" t="str">
        <f>IFERROR(INDEX($D$2:$D$65,MATCH(ROWS($F$2:F39),$F$2:$F$65,0)),"")</f>
        <v/>
      </c>
    </row>
    <row r="40" spans="2:7" x14ac:dyDescent="0.25">
      <c r="B40" s="2" t="str">
        <f>IF(ISBLANK('List of Teams'!B40),"",'List of Teams'!B40)</f>
        <v/>
      </c>
      <c r="C40" s="2">
        <f t="shared" si="0"/>
        <v>0</v>
      </c>
      <c r="D40" s="2" t="str">
        <f>INDEX($B$2:$B$65,MATCH(ROWS($C$2:C40),$C$2:$C$65,0))</f>
        <v>University of team 19</v>
      </c>
      <c r="E40" s="2">
        <f t="shared" si="1"/>
        <v>1</v>
      </c>
      <c r="F40" s="2">
        <f>IF(E40=1,COUNTIF($E$2:E40,1),"")</f>
        <v>11</v>
      </c>
      <c r="G40" s="2" t="str">
        <f>IFERROR(INDEX($D$2:$D$65,MATCH(ROWS($F$2:F40),$F$2:$F$65,0)),"")</f>
        <v/>
      </c>
    </row>
    <row r="41" spans="2:7" x14ac:dyDescent="0.25">
      <c r="B41" s="2" t="str">
        <f>IF(ISBLANK('List of Teams'!B41),"",'List of Teams'!B41)</f>
        <v/>
      </c>
      <c r="C41" s="2">
        <f t="shared" si="0"/>
        <v>0</v>
      </c>
      <c r="D41" s="2" t="str">
        <f>INDEX($B$2:$B$65,MATCH(ROWS($C$2:C41),$C$2:$C$65,0))</f>
        <v>University of team 2</v>
      </c>
      <c r="E41" s="2">
        <f t="shared" si="1"/>
        <v>1</v>
      </c>
      <c r="F41" s="2">
        <f>IF(E41=1,COUNTIF($E$2:E41,1),"")</f>
        <v>12</v>
      </c>
      <c r="G41" s="2" t="str">
        <f>IFERROR(INDEX($D$2:$D$65,MATCH(ROWS($F$2:F41),$F$2:$F$65,0)),"")</f>
        <v/>
      </c>
    </row>
    <row r="42" spans="2:7" x14ac:dyDescent="0.25">
      <c r="B42" s="2" t="str">
        <f>IF(ISBLANK('List of Teams'!B42),"",'List of Teams'!B42)</f>
        <v/>
      </c>
      <c r="C42" s="2">
        <f t="shared" si="0"/>
        <v>0</v>
      </c>
      <c r="D42" s="2" t="str">
        <f>INDEX($B$2:$B$65,MATCH(ROWS($C$2:C42),$C$2:$C$65,0))</f>
        <v>University of team 20</v>
      </c>
      <c r="E42" s="2">
        <f t="shared" si="1"/>
        <v>1</v>
      </c>
      <c r="F42" s="2">
        <f>IF(E42=1,COUNTIF($E$2:E42,1),"")</f>
        <v>13</v>
      </c>
      <c r="G42" s="2" t="str">
        <f>IFERROR(INDEX($D$2:$D$65,MATCH(ROWS($F$2:F42),$F$2:$F$65,0)),"")</f>
        <v/>
      </c>
    </row>
    <row r="43" spans="2:7" x14ac:dyDescent="0.25">
      <c r="B43" s="2" t="str">
        <f>IF(ISBLANK('List of Teams'!B43),"",'List of Teams'!B43)</f>
        <v/>
      </c>
      <c r="C43" s="2">
        <f t="shared" si="0"/>
        <v>0</v>
      </c>
      <c r="D43" s="2" t="str">
        <f>INDEX($B$2:$B$65,MATCH(ROWS($C$2:C43),$C$2:$C$65,0))</f>
        <v>University of team 21</v>
      </c>
      <c r="E43" s="2">
        <f t="shared" si="1"/>
        <v>1</v>
      </c>
      <c r="F43" s="2">
        <f>IF(E43=1,COUNTIF($E$2:E43,1),"")</f>
        <v>14</v>
      </c>
      <c r="G43" s="2" t="str">
        <f>IFERROR(INDEX($D$2:$D$65,MATCH(ROWS($F$2:F43),$F$2:$F$65,0)),"")</f>
        <v/>
      </c>
    </row>
    <row r="44" spans="2:7" x14ac:dyDescent="0.25">
      <c r="B44" s="2" t="str">
        <f>IF(ISBLANK('List of Teams'!B44),"",'List of Teams'!B44)</f>
        <v/>
      </c>
      <c r="C44" s="2">
        <f t="shared" si="0"/>
        <v>0</v>
      </c>
      <c r="D44" s="2" t="str">
        <f>INDEX($B$2:$B$65,MATCH(ROWS($C$2:C44),$C$2:$C$65,0))</f>
        <v>University of team 22</v>
      </c>
      <c r="E44" s="2">
        <f t="shared" si="1"/>
        <v>1</v>
      </c>
      <c r="F44" s="2">
        <f>IF(E44=1,COUNTIF($E$2:E44,1),"")</f>
        <v>15</v>
      </c>
      <c r="G44" s="2" t="str">
        <f>IFERROR(INDEX($D$2:$D$65,MATCH(ROWS($F$2:F44),$F$2:$F$65,0)),"")</f>
        <v/>
      </c>
    </row>
    <row r="45" spans="2:7" x14ac:dyDescent="0.25">
      <c r="B45" s="2" t="str">
        <f>IF(ISBLANK('List of Teams'!B45),"",'List of Teams'!B45)</f>
        <v/>
      </c>
      <c r="C45" s="2">
        <f t="shared" si="0"/>
        <v>0</v>
      </c>
      <c r="D45" s="2" t="str">
        <f>INDEX($B$2:$B$65,MATCH(ROWS($C$2:C45),$C$2:$C$65,0))</f>
        <v>University of team 23</v>
      </c>
      <c r="E45" s="2">
        <f t="shared" si="1"/>
        <v>1</v>
      </c>
      <c r="F45" s="2">
        <f>IF(E45=1,COUNTIF($E$2:E45,1),"")</f>
        <v>16</v>
      </c>
      <c r="G45" s="2" t="str">
        <f>IFERROR(INDEX($D$2:$D$65,MATCH(ROWS($F$2:F45),$F$2:$F$65,0)),"")</f>
        <v/>
      </c>
    </row>
    <row r="46" spans="2:7" x14ac:dyDescent="0.25">
      <c r="B46" s="2" t="str">
        <f>IF(ISBLANK('List of Teams'!B46),"",'List of Teams'!B46)</f>
        <v/>
      </c>
      <c r="C46" s="2">
        <f t="shared" si="0"/>
        <v>0</v>
      </c>
      <c r="D46" s="2" t="str">
        <f>INDEX($B$2:$B$65,MATCH(ROWS($C$2:C46),$C$2:$C$65,0))</f>
        <v>University of team 24</v>
      </c>
      <c r="E46" s="2">
        <f t="shared" si="1"/>
        <v>1</v>
      </c>
      <c r="F46" s="2">
        <f>IF(E46=1,COUNTIF($E$2:E46,1),"")</f>
        <v>17</v>
      </c>
      <c r="G46" s="2" t="str">
        <f>IFERROR(INDEX($D$2:$D$65,MATCH(ROWS($F$2:F46),$F$2:$F$65,0)),"")</f>
        <v/>
      </c>
    </row>
    <row r="47" spans="2:7" x14ac:dyDescent="0.25">
      <c r="B47" s="2" t="str">
        <f>IF(ISBLANK('List of Teams'!B47),"",'List of Teams'!B47)</f>
        <v/>
      </c>
      <c r="C47" s="2">
        <f t="shared" si="0"/>
        <v>0</v>
      </c>
      <c r="D47" s="2" t="str">
        <f>INDEX($B$2:$B$65,MATCH(ROWS($C$2:C47),$C$2:$C$65,0))</f>
        <v>University of team 25</v>
      </c>
      <c r="E47" s="2">
        <f t="shared" si="1"/>
        <v>1</v>
      </c>
      <c r="F47" s="2">
        <f>IF(E47=1,COUNTIF($E$2:E47,1),"")</f>
        <v>18</v>
      </c>
      <c r="G47" s="2" t="str">
        <f>IFERROR(INDEX($D$2:$D$65,MATCH(ROWS($F$2:F47),$F$2:$F$65,0)),"")</f>
        <v/>
      </c>
    </row>
    <row r="48" spans="2:7" x14ac:dyDescent="0.25">
      <c r="B48" s="2" t="str">
        <f>IF(ISBLANK('List of Teams'!B48),"",'List of Teams'!B48)</f>
        <v/>
      </c>
      <c r="C48" s="2">
        <f t="shared" si="0"/>
        <v>0</v>
      </c>
      <c r="D48" s="2" t="str">
        <f>INDEX($B$2:$B$65,MATCH(ROWS($C$2:C48),$C$2:$C$65,0))</f>
        <v>University of team 26</v>
      </c>
      <c r="E48" s="2">
        <f t="shared" si="1"/>
        <v>1</v>
      </c>
      <c r="F48" s="2">
        <f>IF(E48=1,COUNTIF($E$2:E48,1),"")</f>
        <v>19</v>
      </c>
      <c r="G48" s="2" t="str">
        <f>IFERROR(INDEX($D$2:$D$65,MATCH(ROWS($F$2:F48),$F$2:$F$65,0)),"")</f>
        <v/>
      </c>
    </row>
    <row r="49" spans="2:7" x14ac:dyDescent="0.25">
      <c r="B49" s="2" t="str">
        <f>IF(ISBLANK('List of Teams'!B49),"",'List of Teams'!B49)</f>
        <v/>
      </c>
      <c r="C49" s="2">
        <f t="shared" si="0"/>
        <v>0</v>
      </c>
      <c r="D49" s="2" t="str">
        <f>INDEX($B$2:$B$65,MATCH(ROWS($C$2:C49),$C$2:$C$65,0))</f>
        <v>University of team 27</v>
      </c>
      <c r="E49" s="2">
        <f t="shared" si="1"/>
        <v>1</v>
      </c>
      <c r="F49" s="2">
        <f>IF(E49=1,COUNTIF($E$2:E49,1),"")</f>
        <v>20</v>
      </c>
      <c r="G49" s="2" t="str">
        <f>IFERROR(INDEX($D$2:$D$65,MATCH(ROWS($F$2:F49),$F$2:$F$65,0)),"")</f>
        <v/>
      </c>
    </row>
    <row r="50" spans="2:7" x14ac:dyDescent="0.25">
      <c r="B50" s="2" t="str">
        <f>IF(ISBLANK('List of Teams'!B50),"",'List of Teams'!B50)</f>
        <v/>
      </c>
      <c r="C50" s="2">
        <f t="shared" si="0"/>
        <v>0</v>
      </c>
      <c r="D50" s="2" t="str">
        <f>INDEX($B$2:$B$65,MATCH(ROWS($C$2:C50),$C$2:$C$65,0))</f>
        <v>University of team 28</v>
      </c>
      <c r="E50" s="2">
        <f t="shared" si="1"/>
        <v>1</v>
      </c>
      <c r="F50" s="2">
        <f>IF(E50=1,COUNTIF($E$2:E50,1),"")</f>
        <v>21</v>
      </c>
      <c r="G50" s="2" t="str">
        <f>IFERROR(INDEX($D$2:$D$65,MATCH(ROWS($F$2:F50),$F$2:$F$65,0)),"")</f>
        <v/>
      </c>
    </row>
    <row r="51" spans="2:7" x14ac:dyDescent="0.25">
      <c r="B51" s="2" t="str">
        <f>IF(ISBLANK('List of Teams'!B51),"",'List of Teams'!B51)</f>
        <v/>
      </c>
      <c r="C51" s="2">
        <f t="shared" si="0"/>
        <v>0</v>
      </c>
      <c r="D51" s="2" t="str">
        <f>INDEX($B$2:$B$65,MATCH(ROWS($C$2:C51),$C$2:$C$65,0))</f>
        <v>University of team 29</v>
      </c>
      <c r="E51" s="2">
        <f t="shared" si="1"/>
        <v>1</v>
      </c>
      <c r="F51" s="2">
        <f>IF(E51=1,COUNTIF($E$2:E51,1),"")</f>
        <v>22</v>
      </c>
      <c r="G51" s="2" t="str">
        <f>IFERROR(INDEX($D$2:$D$65,MATCH(ROWS($F$2:F51),$F$2:$F$65,0)),"")</f>
        <v/>
      </c>
    </row>
    <row r="52" spans="2:7" x14ac:dyDescent="0.25">
      <c r="B52" s="2" t="str">
        <f>IF(ISBLANK('List of Teams'!B52),"",'List of Teams'!B52)</f>
        <v/>
      </c>
      <c r="C52" s="2">
        <f t="shared" si="0"/>
        <v>0</v>
      </c>
      <c r="D52" s="2" t="str">
        <f>INDEX($B$2:$B$65,MATCH(ROWS($C$2:C52),$C$2:$C$65,0))</f>
        <v>University of team 3</v>
      </c>
      <c r="E52" s="2">
        <f t="shared" si="1"/>
        <v>1</v>
      </c>
      <c r="F52" s="2">
        <f>IF(E52=1,COUNTIF($E$2:E52,1),"")</f>
        <v>23</v>
      </c>
      <c r="G52" s="2" t="str">
        <f>IFERROR(INDEX($D$2:$D$65,MATCH(ROWS($F$2:F52),$F$2:$F$65,0)),"")</f>
        <v/>
      </c>
    </row>
    <row r="53" spans="2:7" x14ac:dyDescent="0.25">
      <c r="B53" s="2" t="str">
        <f>IF(ISBLANK('List of Teams'!B53),"",'List of Teams'!B53)</f>
        <v/>
      </c>
      <c r="C53" s="2">
        <f t="shared" si="0"/>
        <v>0</v>
      </c>
      <c r="D53" s="2" t="str">
        <f>INDEX($B$2:$B$65,MATCH(ROWS($C$2:C53),$C$2:$C$65,0))</f>
        <v>University of team 30</v>
      </c>
      <c r="E53" s="2">
        <f t="shared" si="1"/>
        <v>1</v>
      </c>
      <c r="F53" s="2">
        <f>IF(E53=1,COUNTIF($E$2:E53,1),"")</f>
        <v>24</v>
      </c>
      <c r="G53" s="2" t="str">
        <f>IFERROR(INDEX($D$2:$D$65,MATCH(ROWS($F$2:F53),$F$2:$F$65,0)),"")</f>
        <v/>
      </c>
    </row>
    <row r="54" spans="2:7" x14ac:dyDescent="0.25">
      <c r="B54" s="2" t="str">
        <f>IF(ISBLANK('List of Teams'!B54),"",'List of Teams'!B54)</f>
        <v/>
      </c>
      <c r="C54" s="2">
        <f t="shared" si="0"/>
        <v>0</v>
      </c>
      <c r="D54" s="2" t="str">
        <f>INDEX($B$2:$B$65,MATCH(ROWS($C$2:C54),$C$2:$C$65,0))</f>
        <v>University of team 31</v>
      </c>
      <c r="E54" s="2">
        <f t="shared" si="1"/>
        <v>1</v>
      </c>
      <c r="F54" s="2">
        <f>IF(E54=1,COUNTIF($E$2:E54,1),"")</f>
        <v>25</v>
      </c>
      <c r="G54" s="2" t="str">
        <f>IFERROR(INDEX($D$2:$D$65,MATCH(ROWS($F$2:F54),$F$2:$F$65,0)),"")</f>
        <v/>
      </c>
    </row>
    <row r="55" spans="2:7" x14ac:dyDescent="0.25">
      <c r="B55" s="2" t="str">
        <f>IF(ISBLANK('List of Teams'!B55),"",'List of Teams'!B55)</f>
        <v/>
      </c>
      <c r="C55" s="2">
        <f t="shared" si="0"/>
        <v>0</v>
      </c>
      <c r="D55" s="2" t="str">
        <f>INDEX($B$2:$B$65,MATCH(ROWS($C$2:C55),$C$2:$C$65,0))</f>
        <v>University of team 32</v>
      </c>
      <c r="E55" s="2">
        <f t="shared" si="1"/>
        <v>1</v>
      </c>
      <c r="F55" s="2">
        <f>IF(E55=1,COUNTIF($E$2:E55,1),"")</f>
        <v>26</v>
      </c>
      <c r="G55" s="2" t="str">
        <f>IFERROR(INDEX($D$2:$D$65,MATCH(ROWS($F$2:F55),$F$2:$F$65,0)),"")</f>
        <v/>
      </c>
    </row>
    <row r="56" spans="2:7" x14ac:dyDescent="0.25">
      <c r="B56" s="2" t="str">
        <f>IF(ISBLANK('List of Teams'!B56),"",'List of Teams'!B56)</f>
        <v/>
      </c>
      <c r="C56" s="2">
        <f t="shared" si="0"/>
        <v>0</v>
      </c>
      <c r="D56" s="2" t="str">
        <f>INDEX($B$2:$B$65,MATCH(ROWS($C$2:C56),$C$2:$C$65,0))</f>
        <v>University of team 33</v>
      </c>
      <c r="E56" s="2">
        <f t="shared" si="1"/>
        <v>1</v>
      </c>
      <c r="F56" s="2">
        <f>IF(E56=1,COUNTIF($E$2:E56,1),"")</f>
        <v>27</v>
      </c>
      <c r="G56" s="2" t="str">
        <f>IFERROR(INDEX($D$2:$D$65,MATCH(ROWS($F$2:F56),$F$2:$F$65,0)),"")</f>
        <v/>
      </c>
    </row>
    <row r="57" spans="2:7" x14ac:dyDescent="0.25">
      <c r="B57" s="2" t="str">
        <f>IF(ISBLANK('List of Teams'!B57),"",'List of Teams'!B57)</f>
        <v/>
      </c>
      <c r="C57" s="2">
        <f t="shared" si="0"/>
        <v>0</v>
      </c>
      <c r="D57" s="2" t="str">
        <f>INDEX($B$2:$B$65,MATCH(ROWS($C$2:C57),$C$2:$C$65,0))</f>
        <v>University of team 34</v>
      </c>
      <c r="E57" s="2">
        <f t="shared" si="1"/>
        <v>1</v>
      </c>
      <c r="F57" s="2">
        <f>IF(E57=1,COUNTIF($E$2:E57,1),"")</f>
        <v>28</v>
      </c>
      <c r="G57" s="2" t="str">
        <f>IFERROR(INDEX($D$2:$D$65,MATCH(ROWS($F$2:F57),$F$2:$F$65,0)),"")</f>
        <v/>
      </c>
    </row>
    <row r="58" spans="2:7" x14ac:dyDescent="0.25">
      <c r="B58" s="2" t="str">
        <f>IF(ISBLANK('List of Teams'!B58),"",'List of Teams'!B58)</f>
        <v/>
      </c>
      <c r="C58" s="2">
        <f t="shared" si="0"/>
        <v>0</v>
      </c>
      <c r="D58" s="2" t="str">
        <f>INDEX($B$2:$B$65,MATCH(ROWS($C$2:C58),$C$2:$C$65,0))</f>
        <v>University of team 35</v>
      </c>
      <c r="E58" s="2">
        <f t="shared" si="1"/>
        <v>1</v>
      </c>
      <c r="F58" s="2">
        <f>IF(E58=1,COUNTIF($E$2:E58,1),"")</f>
        <v>29</v>
      </c>
      <c r="G58" s="2" t="str">
        <f>IFERROR(INDEX($D$2:$D$65,MATCH(ROWS($F$2:F58),$F$2:$F$65,0)),"")</f>
        <v/>
      </c>
    </row>
    <row r="59" spans="2:7" x14ac:dyDescent="0.25">
      <c r="B59" s="2" t="str">
        <f>IF(ISBLANK('List of Teams'!B59),"",'List of Teams'!B59)</f>
        <v/>
      </c>
      <c r="C59" s="2">
        <f t="shared" si="0"/>
        <v>0</v>
      </c>
      <c r="D59" s="2" t="str">
        <f>INDEX($B$2:$B$65,MATCH(ROWS($C$2:C59),$C$2:$C$65,0))</f>
        <v>University of team 36</v>
      </c>
      <c r="E59" s="2">
        <f t="shared" si="1"/>
        <v>1</v>
      </c>
      <c r="F59" s="2">
        <f>IF(E59=1,COUNTIF($E$2:E59,1),"")</f>
        <v>30</v>
      </c>
      <c r="G59" s="2" t="str">
        <f>IFERROR(INDEX($D$2:$D$65,MATCH(ROWS($F$2:F59),$F$2:$F$65,0)),"")</f>
        <v/>
      </c>
    </row>
    <row r="60" spans="2:7" x14ac:dyDescent="0.25">
      <c r="B60" s="2" t="str">
        <f>IF(ISBLANK('List of Teams'!B60),"",'List of Teams'!B60)</f>
        <v/>
      </c>
      <c r="C60" s="2">
        <f t="shared" si="0"/>
        <v>0</v>
      </c>
      <c r="D60" s="2" t="str">
        <f>INDEX($B$2:$B$65,MATCH(ROWS($C$2:C60),$C$2:$C$65,0))</f>
        <v>University of team 4</v>
      </c>
      <c r="E60" s="2">
        <f t="shared" si="1"/>
        <v>1</v>
      </c>
      <c r="F60" s="2">
        <f>IF(E60=1,COUNTIF($E$2:E60,1),"")</f>
        <v>31</v>
      </c>
      <c r="G60" s="2" t="str">
        <f>IFERROR(INDEX($D$2:$D$65,MATCH(ROWS($F$2:F60),$F$2:$F$65,0)),"")</f>
        <v/>
      </c>
    </row>
    <row r="61" spans="2:7" x14ac:dyDescent="0.25">
      <c r="B61" s="2" t="str">
        <f>IF(ISBLANK('List of Teams'!B61),"",'List of Teams'!B61)</f>
        <v/>
      </c>
      <c r="C61" s="2">
        <f t="shared" si="0"/>
        <v>0</v>
      </c>
      <c r="D61" s="2" t="str">
        <f>INDEX($B$2:$B$65,MATCH(ROWS($C$2:C61),$C$2:$C$65,0))</f>
        <v>University of team 5</v>
      </c>
      <c r="E61" s="2">
        <f t="shared" si="1"/>
        <v>1</v>
      </c>
      <c r="F61" s="2">
        <f>IF(E61=1,COUNTIF($E$2:E61,1),"")</f>
        <v>32</v>
      </c>
      <c r="G61" s="2" t="str">
        <f>IFERROR(INDEX($D$2:$D$65,MATCH(ROWS($F$2:F61),$F$2:$F$65,0)),"")</f>
        <v/>
      </c>
    </row>
    <row r="62" spans="2:7" x14ac:dyDescent="0.25">
      <c r="B62" s="2" t="str">
        <f>IF(ISBLANK('List of Teams'!B62),"",'List of Teams'!B62)</f>
        <v/>
      </c>
      <c r="C62" s="2">
        <f t="shared" si="0"/>
        <v>0</v>
      </c>
      <c r="D62" s="2" t="str">
        <f>INDEX($B$2:$B$65,MATCH(ROWS($C$2:C62),$C$2:$C$65,0))</f>
        <v>University of team 6</v>
      </c>
      <c r="E62" s="2">
        <f t="shared" si="1"/>
        <v>1</v>
      </c>
      <c r="F62" s="2">
        <f>IF(E62=1,COUNTIF($E$2:E62,1),"")</f>
        <v>33</v>
      </c>
      <c r="G62" s="2" t="str">
        <f>IFERROR(INDEX($D$2:$D$65,MATCH(ROWS($F$2:F62),$F$2:$F$65,0)),"")</f>
        <v/>
      </c>
    </row>
    <row r="63" spans="2:7" x14ac:dyDescent="0.25">
      <c r="B63" s="2" t="str">
        <f>IF(ISBLANK('List of Teams'!B63),"",'List of Teams'!B63)</f>
        <v/>
      </c>
      <c r="C63" s="2">
        <f t="shared" si="0"/>
        <v>0</v>
      </c>
      <c r="D63" s="2" t="str">
        <f>INDEX($B$2:$B$65,MATCH(ROWS($C$2:C63),$C$2:$C$65,0))</f>
        <v>University of team 7</v>
      </c>
      <c r="E63" s="2">
        <f t="shared" si="1"/>
        <v>1</v>
      </c>
      <c r="F63" s="2">
        <f>IF(E63=1,COUNTIF($E$2:E63,1),"")</f>
        <v>34</v>
      </c>
      <c r="G63" s="2" t="str">
        <f>IFERROR(INDEX($D$2:$D$65,MATCH(ROWS($F$2:F63),$F$2:$F$65,0)),"")</f>
        <v/>
      </c>
    </row>
    <row r="64" spans="2:7" x14ac:dyDescent="0.25">
      <c r="B64" s="2" t="str">
        <f>IF(ISBLANK('List of Teams'!B64),"",'List of Teams'!B64)</f>
        <v/>
      </c>
      <c r="C64" s="2">
        <f t="shared" si="0"/>
        <v>0</v>
      </c>
      <c r="D64" s="2" t="str">
        <f>INDEX($B$2:$B$65,MATCH(ROWS($C$2:C64),$C$2:$C$65,0))</f>
        <v>University of team 8</v>
      </c>
      <c r="E64" s="2">
        <f t="shared" si="1"/>
        <v>1</v>
      </c>
      <c r="F64" s="2">
        <f>IF(E64=1,COUNTIF($E$2:E64,1),"")</f>
        <v>35</v>
      </c>
      <c r="G64" s="2" t="str">
        <f>IFERROR(INDEX($D$2:$D$65,MATCH(ROWS($F$2:F64),$F$2:$F$65,0)),"")</f>
        <v/>
      </c>
    </row>
    <row r="65" spans="2:7" x14ac:dyDescent="0.25">
      <c r="B65" s="2" t="str">
        <f>IF(ISBLANK('List of Teams'!B65),"",'List of Teams'!B65)</f>
        <v/>
      </c>
      <c r="C65" s="2">
        <f t="shared" si="0"/>
        <v>0</v>
      </c>
      <c r="D65" s="2" t="str">
        <f>INDEX($B$2:$B$65,MATCH(ROWS($C$2:C65),$C$2:$C$65,0))</f>
        <v>University of team 9</v>
      </c>
      <c r="E65" s="2">
        <f t="shared" si="1"/>
        <v>1</v>
      </c>
      <c r="F65" s="2">
        <f>IF(E65=1,COUNTIF($E$2:E65,1),"")</f>
        <v>36</v>
      </c>
      <c r="G65" s="2" t="str">
        <f>IFERROR(INDEX($D$2:$D$65,MATCH(ROWS($F$2:F65),$F$2:$F$65,0)),"")</f>
        <v/>
      </c>
    </row>
    <row r="67" spans="2:7" x14ac:dyDescent="0.25">
      <c r="B67" s="2" t="s">
        <v>15</v>
      </c>
    </row>
    <row r="68" spans="2:7" x14ac:dyDescent="0.25">
      <c r="B68" s="2" t="str">
        <f>IF(ISBLANK('Teams in Pools'!A1),"",'Teams in Pools'!A1)</f>
        <v>Pool 1</v>
      </c>
    </row>
    <row r="69" spans="2:7" x14ac:dyDescent="0.25">
      <c r="B69" s="2" t="str">
        <f>IF(ISBLANK('Teams in Pools'!A7),"",'Teams in Pools'!A7)</f>
        <v>Pool 2</v>
      </c>
    </row>
    <row r="70" spans="2:7" x14ac:dyDescent="0.25">
      <c r="B70" s="2" t="str">
        <f>IF(ISBLANK('Teams in Pools'!A13),"",'Teams in Pools'!A13)</f>
        <v>Pool 3</v>
      </c>
    </row>
    <row r="71" spans="2:7" x14ac:dyDescent="0.25">
      <c r="B71" s="2" t="str">
        <f>IF(ISBLANK('Teams in Pools'!A19),"",'Teams in Pools'!A19)</f>
        <v>Pool 4</v>
      </c>
    </row>
    <row r="72" spans="2:7" x14ac:dyDescent="0.25">
      <c r="B72" s="2" t="str">
        <f>IF(ISBLANK('Teams in Pools'!C1),"",'Teams in Pools'!C1)</f>
        <v>Pool 5</v>
      </c>
    </row>
    <row r="73" spans="2:7" x14ac:dyDescent="0.25">
      <c r="B73" s="2" t="str">
        <f>IF(ISBLANK('Teams in Pools'!C7),"",'Teams in Pools'!C7)</f>
        <v>Pool 6</v>
      </c>
    </row>
    <row r="74" spans="2:7" x14ac:dyDescent="0.25">
      <c r="B74" s="2" t="str">
        <f>IF(ISBLANK('Teams in Pools'!C13),"",'Teams in Pools'!C13)</f>
        <v>Pool 7</v>
      </c>
    </row>
    <row r="75" spans="2:7" x14ac:dyDescent="0.25">
      <c r="B75" s="2" t="str">
        <f>IF(ISBLANK('Teams in Pools'!C19),"",'Teams in Pools'!C19)</f>
        <v>Pool 8</v>
      </c>
    </row>
    <row r="76" spans="2:7" x14ac:dyDescent="0.25">
      <c r="B76" s="2" t="str">
        <f>IF(ISBLANK('Teams in Pools'!E1),"",'Teams in Pools'!E1)</f>
        <v>Pool 9</v>
      </c>
    </row>
    <row r="77" spans="2:7" x14ac:dyDescent="0.25">
      <c r="B77" s="2" t="str">
        <f>IF(ISBLANK('Teams in Pools'!E7),"",'Teams in Pools'!E7)</f>
        <v/>
      </c>
    </row>
    <row r="78" spans="2:7" x14ac:dyDescent="0.25">
      <c r="B78" s="2" t="str">
        <f>IF(ISBLANK('Teams in Pools'!E13),"",'Teams in Pools'!E13)</f>
        <v/>
      </c>
    </row>
    <row r="79" spans="2:7" x14ac:dyDescent="0.25">
      <c r="B79" s="2" t="str">
        <f>IF(ISBLANK('Teams in Pools'!E19),"",'Teams in Pools'!E19)</f>
        <v/>
      </c>
    </row>
    <row r="80" spans="2:7" x14ac:dyDescent="0.25">
      <c r="B80" s="2" t="str">
        <f>IF(ISBLANK('Teams in Pools'!G1),"",'Teams in Pools'!G1)</f>
        <v/>
      </c>
    </row>
    <row r="81" spans="2:2" x14ac:dyDescent="0.25">
      <c r="B81" s="2" t="str">
        <f>IF(ISBLANK('Teams in Pools'!G7),"",'Teams in Pools'!G7)</f>
        <v/>
      </c>
    </row>
    <row r="82" spans="2:2" x14ac:dyDescent="0.25">
      <c r="B82" s="2" t="str">
        <f>IF(ISBLANK('Teams in Pools'!G13),"",'Teams in Pools'!G13)</f>
        <v/>
      </c>
    </row>
    <row r="83" spans="2:2" x14ac:dyDescent="0.25">
      <c r="B83" s="2" t="str">
        <f>IF(ISBLANK('Teams in Pools'!G19),"",'Teams in Pools'!G19)</f>
        <v/>
      </c>
    </row>
  </sheetData>
  <sheetProtection algorithmName="SHA-512" hashValue="v2tEE7EOUAnVCdTYi8BxlbKcOepCcCmXl7zcRgUZDmSjIqkVMQ9nv17W7ZuHZj+va+8OvkkQIPXHsVLS8xdYBw==" saltValue="WprvOxRG2OoztyqOC2tDXA==" spinCount="100000" sheet="1" objects="1" scenarios="1"/>
  <protectedRanges>
    <protectedRange algorithmName="SHA-512" hashValue="siqaSe5PoA6n6k4OD9XvfDkgpaHDh3YaOYl9p8KBG2rZrBBtkHHkWb4SdRV5URb73RoAKwhv+vD07GfzO4VHUw==" saltValue="mx0CspVkxTCRqRyGz7Sjrw==" spinCount="100000" sqref="L9:M11" name="Signature"/>
  </protectedRanges>
  <mergeCells count="6">
    <mergeCell ref="S7:T7"/>
    <mergeCell ref="M4:N4"/>
    <mergeCell ref="O5:P5"/>
    <mergeCell ref="Q6:R6"/>
    <mergeCell ref="I3:J7"/>
    <mergeCell ref="K3:L3"/>
  </mergeCells>
  <phoneticPr fontId="1" type="noConversion"/>
  <hyperlinks>
    <hyperlink ref="M10" r:id="rId1" xr:uid="{8304B81B-264C-4972-93D5-2FB6AB61C2AA}"/>
    <hyperlink ref="M11" r:id="rId2" xr:uid="{D1647A0A-F997-41A8-A2EA-84CC238693F4}"/>
  </hyperlink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1029" r:id="rId6" name="CommandButton3">
          <controlPr locked="0" defaultSize="0" autoLine="0" r:id="rId7">
            <anchor moveWithCells="1" sizeWithCells="1">
              <from>
                <xdr:col>16</xdr:col>
                <xdr:colOff>0</xdr:colOff>
                <xdr:row>8</xdr:row>
                <xdr:rowOff>0</xdr:rowOff>
              </from>
              <to>
                <xdr:col>20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29" r:id="rId6" name="CommandButton3"/>
      </mc:Fallback>
    </mc:AlternateContent>
    <mc:AlternateContent xmlns:mc="http://schemas.openxmlformats.org/markup-compatibility/2006">
      <mc:Choice Requires="x14">
        <control shapeId="1027" r:id="rId8" name="CommandButton1">
          <controlPr locked="0" defaultSize="0" autoLine="0" r:id="rId9">
            <anchor moveWithCells="1" sizeWithCells="1">
              <from>
                <xdr:col>8</xdr:col>
                <xdr:colOff>0</xdr:colOff>
                <xdr:row>8</xdr:row>
                <xdr:rowOff>0</xdr:rowOff>
              </from>
              <to>
                <xdr:col>10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27" r:id="rId8" name="CommandButton1"/>
      </mc:Fallback>
    </mc:AlternateContent>
    <mc:AlternateContent xmlns:mc="http://schemas.openxmlformats.org/markup-compatibility/2006">
      <mc:Choice Requires="x14">
        <control shapeId="1025" r:id="rId10" name="TeamSearch">
          <controlPr locked="0" defaultSize="0" print="0" autoLine="0" linkedCell="E1" listFillRange="G2:G65" r:id="rId11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14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10" name="TeamSearch"/>
      </mc:Fallback>
    </mc:AlternateContent>
    <mc:AlternateContent xmlns:mc="http://schemas.openxmlformats.org/markup-compatibility/2006">
      <mc:Choice Requires="x14">
        <control shapeId="1026" r:id="rId12" name="PoolSearch">
          <controlPr locked="0" defaultSize="0" print="0" autoLine="0" linkedCell="F1" listFillRange="B68:B83" r:id="rId13">
            <anchor moveWithCells="1" sizeWithCells="1">
              <from>
                <xdr:col>8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6" r:id="rId12" name="PoolSearch"/>
      </mc:Fallback>
    </mc:AlternateContent>
    <mc:AlternateContent xmlns:mc="http://schemas.openxmlformats.org/markup-compatibility/2006">
      <mc:Choice Requires="x14">
        <control shapeId="1028" r:id="rId14" name="CommandButton2">
          <controlPr locked="0" defaultSize="0" autoLine="0" r:id="rId15">
            <anchor moveWithCells="1" sizeWithCells="1">
              <from>
                <xdr:col>8</xdr:col>
                <xdr:colOff>0</xdr:colOff>
                <xdr:row>9</xdr:row>
                <xdr:rowOff>190500</xdr:rowOff>
              </from>
              <to>
                <xdr:col>10</xdr:col>
                <xdr:colOff>0</xdr:colOff>
                <xdr:row>11</xdr:row>
                <xdr:rowOff>190500</xdr:rowOff>
              </to>
            </anchor>
          </controlPr>
        </control>
      </mc:Choice>
      <mc:Fallback>
        <control shapeId="1028" r:id="rId1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B890F-2DF6-4450-9FD4-DCEA66E526CE}">
  <sheetPr codeName="Sheet4">
    <tabColor rgb="FFCCFFFF"/>
  </sheetPr>
  <dimension ref="A1:BB25"/>
  <sheetViews>
    <sheetView showGridLines="0" zoomScale="157" zoomScaleNormal="157" workbookViewId="0"/>
  </sheetViews>
  <sheetFormatPr defaultColWidth="4.28515625" defaultRowHeight="20.100000000000001" customHeight="1" x14ac:dyDescent="0.25"/>
  <cols>
    <col min="33" max="33" width="4.28515625" customWidth="1"/>
  </cols>
  <sheetData>
    <row r="1" spans="1:54" ht="20.100000000000001" customHeight="1" thickBot="1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</row>
    <row r="2" spans="1:54" ht="20.100000000000001" customHeight="1" thickTop="1" thickBot="1" x14ac:dyDescent="0.3">
      <c r="A2" s="4"/>
      <c r="B2" s="297" t="s">
        <v>0</v>
      </c>
      <c r="C2" s="298"/>
      <c r="D2" s="303" t="s">
        <v>188</v>
      </c>
      <c r="E2" s="304"/>
      <c r="F2" s="5" t="s">
        <v>152</v>
      </c>
      <c r="G2" s="4"/>
      <c r="H2" s="4"/>
      <c r="I2" s="4"/>
      <c r="J2" s="4"/>
      <c r="K2" s="4"/>
      <c r="L2" s="4"/>
      <c r="M2" s="4"/>
      <c r="N2" s="4"/>
      <c r="O2" s="297" t="s">
        <v>4</v>
      </c>
      <c r="P2" s="298"/>
      <c r="Q2" s="303" t="s">
        <v>197</v>
      </c>
      <c r="R2" s="304"/>
      <c r="S2" s="5" t="s">
        <v>161</v>
      </c>
      <c r="T2" s="4"/>
      <c r="U2" s="4"/>
      <c r="V2" s="4"/>
      <c r="W2" s="4"/>
      <c r="X2" s="4"/>
      <c r="Y2" s="4"/>
      <c r="Z2" s="4"/>
      <c r="AA2" s="4"/>
      <c r="AB2" s="297" t="s">
        <v>8</v>
      </c>
      <c r="AC2" s="298"/>
      <c r="AD2" s="303" t="s">
        <v>205</v>
      </c>
      <c r="AE2" s="304"/>
      <c r="AF2" s="5" t="s">
        <v>169</v>
      </c>
      <c r="AG2" s="4"/>
      <c r="AH2" s="4"/>
      <c r="AI2" s="4"/>
      <c r="AJ2" s="4"/>
      <c r="AK2" s="4"/>
      <c r="AL2" s="4"/>
      <c r="AM2" s="4"/>
      <c r="AN2" s="4"/>
      <c r="AS2" s="5"/>
      <c r="AT2" s="4"/>
      <c r="AU2" s="4"/>
      <c r="AV2" s="4"/>
      <c r="AW2" s="4"/>
      <c r="AX2" s="4"/>
      <c r="AY2" s="4"/>
      <c r="AZ2" s="4"/>
      <c r="BA2" s="4"/>
      <c r="BB2" s="4"/>
    </row>
    <row r="3" spans="1:54" ht="20.100000000000001" customHeight="1" thickTop="1" thickBot="1" x14ac:dyDescent="0.3">
      <c r="A3" s="4"/>
      <c r="B3" s="299"/>
      <c r="C3" s="300"/>
      <c r="D3" s="6">
        <v>12</v>
      </c>
      <c r="E3" s="7">
        <v>5</v>
      </c>
      <c r="F3" s="305" t="s">
        <v>186</v>
      </c>
      <c r="G3" s="306"/>
      <c r="H3" s="5" t="s">
        <v>150</v>
      </c>
      <c r="I3" s="4"/>
      <c r="J3" s="4"/>
      <c r="K3" s="4"/>
      <c r="L3" s="4"/>
      <c r="M3" s="4"/>
      <c r="N3" s="4"/>
      <c r="O3" s="299"/>
      <c r="P3" s="300"/>
      <c r="Q3" s="6">
        <v>23</v>
      </c>
      <c r="R3" s="7">
        <v>5</v>
      </c>
      <c r="S3" s="305" t="s">
        <v>179</v>
      </c>
      <c r="T3" s="306"/>
      <c r="U3" s="5" t="s">
        <v>143</v>
      </c>
      <c r="V3" s="4"/>
      <c r="W3" s="4"/>
      <c r="X3" s="4"/>
      <c r="Y3" s="4"/>
      <c r="Z3" s="4"/>
      <c r="AA3" s="4"/>
      <c r="AB3" s="299"/>
      <c r="AC3" s="300"/>
      <c r="AD3" s="6">
        <v>7</v>
      </c>
      <c r="AE3" s="7">
        <v>5</v>
      </c>
      <c r="AF3" s="305" t="s">
        <v>173</v>
      </c>
      <c r="AG3" s="306"/>
      <c r="AH3" s="5" t="s">
        <v>137</v>
      </c>
      <c r="AI3" s="4"/>
      <c r="AJ3" s="4"/>
      <c r="AK3" s="4"/>
      <c r="AL3" s="4"/>
      <c r="AM3" s="4"/>
      <c r="AN3" s="4"/>
      <c r="AU3" s="5"/>
      <c r="AV3" s="4"/>
      <c r="AW3" s="4"/>
      <c r="AX3" s="4"/>
      <c r="AY3" s="4"/>
      <c r="AZ3" s="4"/>
      <c r="BA3" s="4"/>
      <c r="BB3" s="4"/>
    </row>
    <row r="4" spans="1:54" ht="20.100000000000001" customHeight="1" thickTop="1" thickBot="1" x14ac:dyDescent="0.3">
      <c r="A4" s="4"/>
      <c r="B4" s="299"/>
      <c r="C4" s="300"/>
      <c r="D4" s="8">
        <v>28</v>
      </c>
      <c r="E4" s="9">
        <v>13</v>
      </c>
      <c r="F4" s="10">
        <v>15</v>
      </c>
      <c r="G4" s="11">
        <v>6</v>
      </c>
      <c r="H4" s="307" t="s">
        <v>192</v>
      </c>
      <c r="I4" s="308"/>
      <c r="J4" s="5" t="s">
        <v>156</v>
      </c>
      <c r="K4" s="4"/>
      <c r="L4" s="4"/>
      <c r="M4" s="4"/>
      <c r="N4" s="4"/>
      <c r="O4" s="299"/>
      <c r="P4" s="300"/>
      <c r="Q4" s="8">
        <v>4</v>
      </c>
      <c r="R4" s="9">
        <v>28</v>
      </c>
      <c r="S4" s="10">
        <v>25</v>
      </c>
      <c r="T4" s="11">
        <v>11</v>
      </c>
      <c r="U4" s="307" t="s">
        <v>178</v>
      </c>
      <c r="V4" s="308"/>
      <c r="W4" s="5" t="s">
        <v>142</v>
      </c>
      <c r="X4" s="4"/>
      <c r="Y4" s="4"/>
      <c r="Z4" s="4"/>
      <c r="AA4" s="4"/>
      <c r="AB4" s="299"/>
      <c r="AC4" s="300"/>
      <c r="AD4" s="8">
        <v>13</v>
      </c>
      <c r="AE4" s="9">
        <v>6</v>
      </c>
      <c r="AF4" s="10">
        <v>23</v>
      </c>
      <c r="AG4" s="11">
        <v>8</v>
      </c>
      <c r="AH4" s="307" t="s">
        <v>175</v>
      </c>
      <c r="AI4" s="308"/>
      <c r="AJ4" s="5" t="s">
        <v>139</v>
      </c>
      <c r="AK4" s="4"/>
      <c r="AL4" s="4"/>
      <c r="AM4" s="4"/>
      <c r="AN4" s="4"/>
      <c r="AW4" s="5"/>
      <c r="AX4" s="4"/>
      <c r="AY4" s="4"/>
      <c r="AZ4" s="4"/>
      <c r="BA4" s="4"/>
      <c r="BB4" s="4"/>
    </row>
    <row r="5" spans="1:54" ht="20.100000000000001" customHeight="1" thickTop="1" thickBot="1" x14ac:dyDescent="0.3">
      <c r="A5" s="4"/>
      <c r="B5" s="299"/>
      <c r="C5" s="300"/>
      <c r="D5" s="8">
        <v>25</v>
      </c>
      <c r="E5" s="12">
        <v>8</v>
      </c>
      <c r="F5" s="13">
        <v>4</v>
      </c>
      <c r="G5" s="12">
        <v>5</v>
      </c>
      <c r="H5" s="14">
        <v>19</v>
      </c>
      <c r="I5" s="15">
        <v>16</v>
      </c>
      <c r="J5" s="309" t="s">
        <v>206</v>
      </c>
      <c r="K5" s="310"/>
      <c r="L5" s="5" t="s">
        <v>170</v>
      </c>
      <c r="M5" s="4"/>
      <c r="N5" s="4"/>
      <c r="O5" s="299"/>
      <c r="P5" s="300"/>
      <c r="Q5" s="8">
        <v>12</v>
      </c>
      <c r="R5" s="12">
        <v>23</v>
      </c>
      <c r="S5" s="13">
        <v>7</v>
      </c>
      <c r="T5" s="12">
        <v>30</v>
      </c>
      <c r="U5" s="14">
        <v>24</v>
      </c>
      <c r="V5" s="15">
        <v>18</v>
      </c>
      <c r="W5" s="309" t="s">
        <v>182</v>
      </c>
      <c r="X5" s="310"/>
      <c r="Y5" s="5" t="s">
        <v>146</v>
      </c>
      <c r="Z5" s="4"/>
      <c r="AA5" s="4"/>
      <c r="AB5" s="299"/>
      <c r="AC5" s="300"/>
      <c r="AD5" s="8">
        <v>21</v>
      </c>
      <c r="AE5" s="12">
        <v>29</v>
      </c>
      <c r="AF5" s="13">
        <v>2</v>
      </c>
      <c r="AG5" s="12">
        <v>4</v>
      </c>
      <c r="AH5" s="14">
        <v>17</v>
      </c>
      <c r="AI5" s="15">
        <v>2</v>
      </c>
      <c r="AJ5" s="309" t="s">
        <v>208</v>
      </c>
      <c r="AK5" s="310"/>
      <c r="AL5" s="5" t="s">
        <v>172</v>
      </c>
      <c r="AM5" s="4"/>
      <c r="AN5" s="4"/>
      <c r="AY5" s="5"/>
      <c r="AZ5" s="4"/>
      <c r="BA5" s="4"/>
      <c r="BB5" s="4"/>
    </row>
    <row r="6" spans="1:54" ht="20.100000000000001" customHeight="1" thickTop="1" thickBot="1" x14ac:dyDescent="0.3">
      <c r="A6" s="4"/>
      <c r="B6" s="301"/>
      <c r="C6" s="302"/>
      <c r="N6" s="5"/>
      <c r="O6" s="301"/>
      <c r="P6" s="302"/>
      <c r="AA6" s="5"/>
      <c r="AB6" s="301"/>
      <c r="AC6" s="302"/>
      <c r="AN6" s="5"/>
      <c r="BA6" s="5"/>
      <c r="BB6" s="4"/>
    </row>
    <row r="7" spans="1:54" ht="20.100000000000001" customHeight="1" thickTop="1" thickBo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</row>
    <row r="8" spans="1:54" ht="20.100000000000001" customHeight="1" thickTop="1" thickBot="1" x14ac:dyDescent="0.3">
      <c r="A8" s="4"/>
      <c r="B8" s="297" t="s">
        <v>1</v>
      </c>
      <c r="C8" s="298"/>
      <c r="D8" s="303" t="s">
        <v>207</v>
      </c>
      <c r="E8" s="304"/>
      <c r="F8" s="5" t="s">
        <v>171</v>
      </c>
      <c r="G8" s="4"/>
      <c r="H8" s="4"/>
      <c r="I8" s="4"/>
      <c r="J8" s="4"/>
      <c r="K8" s="4"/>
      <c r="L8" s="4"/>
      <c r="M8" s="4"/>
      <c r="N8" s="4"/>
      <c r="O8" s="297" t="s">
        <v>5</v>
      </c>
      <c r="P8" s="298"/>
      <c r="Q8" s="303" t="s">
        <v>181</v>
      </c>
      <c r="R8" s="304"/>
      <c r="S8" s="5" t="s">
        <v>145</v>
      </c>
      <c r="T8" s="4"/>
      <c r="U8" s="4"/>
      <c r="V8" s="4"/>
      <c r="W8" s="4"/>
      <c r="X8" s="4"/>
      <c r="Y8" s="4"/>
      <c r="Z8" s="4"/>
      <c r="AA8" s="4"/>
      <c r="AF8" s="5"/>
      <c r="AG8" s="4"/>
      <c r="AH8" s="4"/>
      <c r="AI8" s="4"/>
      <c r="AJ8" s="4"/>
      <c r="AK8" s="4"/>
      <c r="AL8" s="4"/>
      <c r="AM8" s="4"/>
      <c r="AN8" s="4"/>
      <c r="AS8" s="5"/>
      <c r="AT8" s="4"/>
      <c r="AU8" s="4"/>
      <c r="AV8" s="4"/>
      <c r="AW8" s="4"/>
      <c r="AX8" s="4"/>
      <c r="AY8" s="4"/>
      <c r="AZ8" s="4"/>
      <c r="BA8" s="4"/>
      <c r="BB8" s="4"/>
    </row>
    <row r="9" spans="1:54" ht="20.100000000000001" customHeight="1" thickTop="1" thickBot="1" x14ac:dyDescent="0.3">
      <c r="A9" s="4"/>
      <c r="B9" s="299"/>
      <c r="C9" s="300"/>
      <c r="D9" s="6">
        <v>6</v>
      </c>
      <c r="E9" s="7">
        <v>5</v>
      </c>
      <c r="F9" s="305" t="s">
        <v>185</v>
      </c>
      <c r="G9" s="306"/>
      <c r="H9" s="5" t="s">
        <v>149</v>
      </c>
      <c r="I9" s="4"/>
      <c r="J9" s="4"/>
      <c r="K9" s="4"/>
      <c r="L9" s="4"/>
      <c r="M9" s="4"/>
      <c r="N9" s="4"/>
      <c r="O9" s="299"/>
      <c r="P9" s="300"/>
      <c r="Q9" s="6">
        <v>25</v>
      </c>
      <c r="R9" s="7">
        <v>5</v>
      </c>
      <c r="S9" s="305" t="s">
        <v>193</v>
      </c>
      <c r="T9" s="306"/>
      <c r="U9" s="5" t="s">
        <v>157</v>
      </c>
      <c r="V9" s="4"/>
      <c r="W9" s="4"/>
      <c r="X9" s="4"/>
      <c r="Y9" s="4"/>
      <c r="Z9" s="4"/>
      <c r="AA9" s="4"/>
      <c r="AH9" s="5"/>
      <c r="AI9" s="4"/>
      <c r="AJ9" s="4"/>
      <c r="AK9" s="4"/>
      <c r="AL9" s="4"/>
      <c r="AM9" s="4"/>
      <c r="AN9" s="4"/>
      <c r="AU9" s="5"/>
      <c r="AV9" s="4"/>
      <c r="AW9" s="4"/>
      <c r="AX9" s="4"/>
      <c r="AY9" s="4"/>
      <c r="AZ9" s="4"/>
      <c r="BA9" s="4"/>
      <c r="BB9" s="4"/>
    </row>
    <row r="10" spans="1:54" ht="20.100000000000001" customHeight="1" thickTop="1" thickBot="1" x14ac:dyDescent="0.3">
      <c r="A10" s="4"/>
      <c r="B10" s="299"/>
      <c r="C10" s="300"/>
      <c r="D10" s="8">
        <v>22</v>
      </c>
      <c r="E10" s="9">
        <v>5</v>
      </c>
      <c r="F10" s="10">
        <v>28</v>
      </c>
      <c r="G10" s="11">
        <v>27</v>
      </c>
      <c r="H10" s="307" t="s">
        <v>190</v>
      </c>
      <c r="I10" s="308"/>
      <c r="J10" s="5" t="s">
        <v>154</v>
      </c>
      <c r="K10" s="4"/>
      <c r="L10" s="4"/>
      <c r="M10" s="4"/>
      <c r="N10" s="4"/>
      <c r="O10" s="299"/>
      <c r="P10" s="300"/>
      <c r="Q10" s="8">
        <v>19</v>
      </c>
      <c r="R10" s="9">
        <v>4</v>
      </c>
      <c r="S10" s="10">
        <v>26</v>
      </c>
      <c r="T10" s="11">
        <v>2</v>
      </c>
      <c r="U10" s="307" t="s">
        <v>183</v>
      </c>
      <c r="V10" s="308"/>
      <c r="W10" s="5" t="s">
        <v>147</v>
      </c>
      <c r="X10" s="4"/>
      <c r="Y10" s="4"/>
      <c r="Z10" s="4"/>
      <c r="AA10" s="4"/>
      <c r="AJ10" s="5"/>
      <c r="AK10" s="4"/>
      <c r="AL10" s="4"/>
      <c r="AM10" s="4"/>
      <c r="AN10" s="4"/>
      <c r="AW10" s="5"/>
      <c r="AX10" s="4"/>
      <c r="AY10" s="4"/>
      <c r="AZ10" s="4"/>
      <c r="BA10" s="4"/>
      <c r="BB10" s="4"/>
    </row>
    <row r="11" spans="1:54" ht="20.100000000000001" customHeight="1" thickTop="1" thickBot="1" x14ac:dyDescent="0.3">
      <c r="A11" s="4"/>
      <c r="B11" s="299"/>
      <c r="C11" s="300"/>
      <c r="D11" s="8">
        <v>18</v>
      </c>
      <c r="E11" s="12">
        <v>8</v>
      </c>
      <c r="F11" s="13">
        <v>22</v>
      </c>
      <c r="G11" s="12">
        <v>14</v>
      </c>
      <c r="H11" s="14">
        <v>30</v>
      </c>
      <c r="I11" s="15">
        <v>14</v>
      </c>
      <c r="J11" s="309" t="s">
        <v>204</v>
      </c>
      <c r="K11" s="310"/>
      <c r="L11" s="5" t="s">
        <v>168</v>
      </c>
      <c r="M11" s="4"/>
      <c r="N11" s="4"/>
      <c r="O11" s="299"/>
      <c r="P11" s="300"/>
      <c r="Q11" s="8">
        <v>8</v>
      </c>
      <c r="R11" s="12">
        <v>17</v>
      </c>
      <c r="S11" s="13">
        <v>15</v>
      </c>
      <c r="T11" s="12">
        <v>22</v>
      </c>
      <c r="U11" s="14">
        <v>18</v>
      </c>
      <c r="V11" s="15">
        <v>6</v>
      </c>
      <c r="W11" s="309" t="s">
        <v>180</v>
      </c>
      <c r="X11" s="310"/>
      <c r="Y11" s="5" t="s">
        <v>144</v>
      </c>
      <c r="Z11" s="4"/>
      <c r="AA11" s="4"/>
      <c r="AL11" s="5"/>
      <c r="AM11" s="4"/>
      <c r="AN11" s="4"/>
      <c r="AY11" s="5"/>
      <c r="AZ11" s="4"/>
      <c r="BA11" s="4"/>
      <c r="BB11" s="4"/>
    </row>
    <row r="12" spans="1:54" ht="20.100000000000001" customHeight="1" thickTop="1" thickBot="1" x14ac:dyDescent="0.3">
      <c r="A12" s="4"/>
      <c r="B12" s="301"/>
      <c r="C12" s="302"/>
      <c r="N12" s="5"/>
      <c r="O12" s="301"/>
      <c r="P12" s="302"/>
      <c r="AA12" s="5"/>
      <c r="AN12" s="5"/>
      <c r="BA12" s="5"/>
      <c r="BB12" s="4"/>
    </row>
    <row r="13" spans="1:54" ht="20.100000000000001" customHeight="1" thickTop="1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</row>
    <row r="14" spans="1:54" ht="20.100000000000001" customHeight="1" thickTop="1" thickBot="1" x14ac:dyDescent="0.3">
      <c r="A14" s="4"/>
      <c r="B14" s="297" t="s">
        <v>2</v>
      </c>
      <c r="C14" s="298"/>
      <c r="D14" s="303" t="s">
        <v>201</v>
      </c>
      <c r="E14" s="304"/>
      <c r="F14" s="5" t="s">
        <v>165</v>
      </c>
      <c r="G14" s="4"/>
      <c r="H14" s="4"/>
      <c r="I14" s="4"/>
      <c r="J14" s="4"/>
      <c r="K14" s="4"/>
      <c r="L14" s="4"/>
      <c r="M14" s="4"/>
      <c r="N14" s="4"/>
      <c r="O14" s="297" t="s">
        <v>6</v>
      </c>
      <c r="P14" s="298"/>
      <c r="Q14" s="303" t="s">
        <v>194</v>
      </c>
      <c r="R14" s="304"/>
      <c r="S14" s="5" t="s">
        <v>158</v>
      </c>
      <c r="T14" s="4"/>
      <c r="U14" s="4"/>
      <c r="V14" s="4"/>
      <c r="W14" s="4"/>
      <c r="X14" s="4"/>
      <c r="Y14" s="4"/>
      <c r="Z14" s="4"/>
      <c r="AA14" s="4"/>
      <c r="AF14" s="5"/>
      <c r="AG14" s="4"/>
      <c r="AH14" s="4"/>
      <c r="AI14" s="4"/>
      <c r="AJ14" s="4"/>
      <c r="AK14" s="4"/>
      <c r="AL14" s="4"/>
      <c r="AM14" s="4"/>
      <c r="AN14" s="4"/>
      <c r="AS14" s="5"/>
      <c r="AT14" s="4"/>
      <c r="AU14" s="4"/>
      <c r="AV14" s="4"/>
      <c r="AW14" s="4"/>
      <c r="AX14" s="4"/>
      <c r="AY14" s="4"/>
      <c r="AZ14" s="4"/>
      <c r="BA14" s="4"/>
      <c r="BB14" s="4"/>
    </row>
    <row r="15" spans="1:54" ht="20.100000000000001" customHeight="1" thickTop="1" thickBot="1" x14ac:dyDescent="0.3">
      <c r="A15" s="4"/>
      <c r="B15" s="299"/>
      <c r="C15" s="300"/>
      <c r="D15" s="6">
        <v>12</v>
      </c>
      <c r="E15" s="7">
        <v>5</v>
      </c>
      <c r="F15" s="305" t="s">
        <v>202</v>
      </c>
      <c r="G15" s="306"/>
      <c r="H15" s="5" t="s">
        <v>166</v>
      </c>
      <c r="I15" s="4"/>
      <c r="J15" s="4"/>
      <c r="K15" s="4"/>
      <c r="L15" s="4"/>
      <c r="M15" s="4"/>
      <c r="N15" s="4"/>
      <c r="O15" s="299"/>
      <c r="P15" s="300"/>
      <c r="Q15" s="6">
        <v>12</v>
      </c>
      <c r="R15" s="7">
        <v>5</v>
      </c>
      <c r="S15" s="305" t="s">
        <v>198</v>
      </c>
      <c r="T15" s="306"/>
      <c r="U15" s="5" t="s">
        <v>162</v>
      </c>
      <c r="V15" s="4"/>
      <c r="W15" s="4"/>
      <c r="X15" s="4"/>
      <c r="Y15" s="4"/>
      <c r="Z15" s="4"/>
      <c r="AA15" s="4"/>
      <c r="AH15" s="5"/>
      <c r="AI15" s="4"/>
      <c r="AJ15" s="4"/>
      <c r="AK15" s="4"/>
      <c r="AL15" s="4"/>
      <c r="AM15" s="4"/>
      <c r="AN15" s="4"/>
      <c r="AU15" s="5"/>
      <c r="AV15" s="4"/>
      <c r="AW15" s="4"/>
      <c r="AX15" s="4"/>
      <c r="AY15" s="4"/>
      <c r="AZ15" s="4"/>
      <c r="BA15" s="4"/>
      <c r="BB15" s="4"/>
    </row>
    <row r="16" spans="1:54" ht="20.100000000000001" customHeight="1" thickTop="1" thickBot="1" x14ac:dyDescent="0.3">
      <c r="A16" s="4"/>
      <c r="B16" s="299"/>
      <c r="C16" s="300"/>
      <c r="D16" s="8">
        <v>9</v>
      </c>
      <c r="E16" s="9">
        <v>21</v>
      </c>
      <c r="F16" s="10">
        <v>4</v>
      </c>
      <c r="G16" s="11">
        <v>24</v>
      </c>
      <c r="H16" s="307" t="s">
        <v>200</v>
      </c>
      <c r="I16" s="308"/>
      <c r="J16" s="5" t="s">
        <v>164</v>
      </c>
      <c r="K16" s="4"/>
      <c r="L16" s="4"/>
      <c r="M16" s="4"/>
      <c r="N16" s="4"/>
      <c r="O16" s="299"/>
      <c r="P16" s="300"/>
      <c r="Q16" s="8">
        <v>20</v>
      </c>
      <c r="R16" s="9">
        <v>4</v>
      </c>
      <c r="S16" s="10">
        <v>21</v>
      </c>
      <c r="T16" s="11">
        <v>6</v>
      </c>
      <c r="U16" s="307" t="s">
        <v>196</v>
      </c>
      <c r="V16" s="308"/>
      <c r="W16" s="5" t="s">
        <v>160</v>
      </c>
      <c r="X16" s="4"/>
      <c r="Y16" s="4"/>
      <c r="Z16" s="4"/>
      <c r="AA16" s="4"/>
      <c r="AJ16" s="5"/>
      <c r="AK16" s="4"/>
      <c r="AL16" s="4"/>
      <c r="AM16" s="4"/>
      <c r="AN16" s="4"/>
      <c r="AW16" s="5"/>
      <c r="AX16" s="4"/>
      <c r="AY16" s="4"/>
      <c r="AZ16" s="4"/>
      <c r="BA16" s="4"/>
      <c r="BB16" s="4"/>
    </row>
    <row r="17" spans="1:54" ht="20.100000000000001" customHeight="1" thickTop="1" thickBot="1" x14ac:dyDescent="0.3">
      <c r="A17" s="4"/>
      <c r="B17" s="299"/>
      <c r="C17" s="300"/>
      <c r="D17" s="8">
        <v>15</v>
      </c>
      <c r="E17" s="12">
        <v>20</v>
      </c>
      <c r="F17" s="13">
        <v>16</v>
      </c>
      <c r="G17" s="12">
        <v>5</v>
      </c>
      <c r="H17" s="14">
        <v>10</v>
      </c>
      <c r="I17" s="15">
        <v>15</v>
      </c>
      <c r="J17" s="309" t="s">
        <v>199</v>
      </c>
      <c r="K17" s="310"/>
      <c r="L17" s="5" t="s">
        <v>163</v>
      </c>
      <c r="M17" s="4"/>
      <c r="N17" s="4"/>
      <c r="O17" s="299"/>
      <c r="P17" s="300"/>
      <c r="Q17" s="8">
        <v>17</v>
      </c>
      <c r="R17" s="12">
        <v>6</v>
      </c>
      <c r="S17" s="13">
        <v>24</v>
      </c>
      <c r="T17" s="12">
        <v>3</v>
      </c>
      <c r="U17" s="14">
        <v>24</v>
      </c>
      <c r="V17" s="15">
        <v>2</v>
      </c>
      <c r="W17" s="309" t="s">
        <v>189</v>
      </c>
      <c r="X17" s="310"/>
      <c r="Y17" s="5" t="s">
        <v>153</v>
      </c>
      <c r="Z17" s="4"/>
      <c r="AA17" s="4"/>
      <c r="AL17" s="5"/>
      <c r="AM17" s="4"/>
      <c r="AN17" s="4"/>
      <c r="AY17" s="5"/>
      <c r="AZ17" s="4"/>
      <c r="BA17" s="4"/>
      <c r="BB17" s="4"/>
    </row>
    <row r="18" spans="1:54" ht="20.100000000000001" customHeight="1" thickTop="1" thickBot="1" x14ac:dyDescent="0.3">
      <c r="A18" s="4"/>
      <c r="B18" s="301"/>
      <c r="C18" s="302"/>
      <c r="N18" s="5"/>
      <c r="O18" s="301"/>
      <c r="P18" s="302"/>
      <c r="AA18" s="5"/>
      <c r="AN18" s="5"/>
      <c r="BA18" s="5"/>
      <c r="BB18" s="4"/>
    </row>
    <row r="19" spans="1:54" ht="20.100000000000001" customHeight="1" thickTop="1" thickBo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</row>
    <row r="20" spans="1:54" ht="20.100000000000001" customHeight="1" thickTop="1" thickBot="1" x14ac:dyDescent="0.3">
      <c r="A20" s="4"/>
      <c r="B20" s="297" t="s">
        <v>3</v>
      </c>
      <c r="C20" s="298"/>
      <c r="D20" s="303" t="s">
        <v>191</v>
      </c>
      <c r="E20" s="304"/>
      <c r="F20" s="5" t="s">
        <v>155</v>
      </c>
      <c r="G20" s="4"/>
      <c r="H20" s="4"/>
      <c r="I20" s="4"/>
      <c r="J20" s="4"/>
      <c r="K20" s="4"/>
      <c r="L20" s="4"/>
      <c r="M20" s="4"/>
      <c r="N20" s="4"/>
      <c r="O20" s="297" t="s">
        <v>7</v>
      </c>
      <c r="P20" s="298"/>
      <c r="Q20" s="303" t="s">
        <v>177</v>
      </c>
      <c r="R20" s="304"/>
      <c r="S20" s="5" t="s">
        <v>141</v>
      </c>
      <c r="T20" s="4"/>
      <c r="U20" s="4"/>
      <c r="V20" s="4"/>
      <c r="W20" s="4"/>
      <c r="X20" s="4"/>
      <c r="Y20" s="4"/>
      <c r="Z20" s="4"/>
      <c r="AA20" s="4"/>
      <c r="AF20" s="5"/>
      <c r="AG20" s="4"/>
      <c r="AH20" s="4"/>
      <c r="AI20" s="4"/>
      <c r="AJ20" s="4"/>
      <c r="AK20" s="4"/>
      <c r="AL20" s="4"/>
      <c r="AM20" s="4"/>
      <c r="AN20" s="4"/>
      <c r="AS20" s="5"/>
      <c r="AT20" s="4"/>
      <c r="AU20" s="4"/>
      <c r="AV20" s="4"/>
      <c r="AW20" s="4"/>
      <c r="AX20" s="4"/>
      <c r="AY20" s="4"/>
      <c r="AZ20" s="4"/>
      <c r="BA20" s="4"/>
      <c r="BB20" s="4"/>
    </row>
    <row r="21" spans="1:54" ht="20.100000000000001" customHeight="1" thickTop="1" thickBot="1" x14ac:dyDescent="0.3">
      <c r="A21" s="4"/>
      <c r="B21" s="299"/>
      <c r="C21" s="300"/>
      <c r="D21" s="6">
        <v>25</v>
      </c>
      <c r="E21" s="7">
        <v>5</v>
      </c>
      <c r="F21" s="305" t="s">
        <v>174</v>
      </c>
      <c r="G21" s="306"/>
      <c r="H21" s="5" t="s">
        <v>138</v>
      </c>
      <c r="I21" s="4"/>
      <c r="J21" s="4"/>
      <c r="K21" s="4"/>
      <c r="L21" s="4"/>
      <c r="M21" s="4"/>
      <c r="N21" s="4"/>
      <c r="O21" s="299"/>
      <c r="P21" s="300"/>
      <c r="Q21" s="6">
        <v>22</v>
      </c>
      <c r="R21" s="7">
        <v>5</v>
      </c>
      <c r="S21" s="305" t="s">
        <v>187</v>
      </c>
      <c r="T21" s="306"/>
      <c r="U21" s="5" t="s">
        <v>151</v>
      </c>
      <c r="V21" s="4"/>
      <c r="W21" s="4"/>
      <c r="X21" s="4"/>
      <c r="Y21" s="4"/>
      <c r="Z21" s="4"/>
      <c r="AA21" s="4"/>
      <c r="AH21" s="5"/>
      <c r="AI21" s="4"/>
      <c r="AJ21" s="4"/>
      <c r="AK21" s="4"/>
      <c r="AL21" s="4"/>
      <c r="AM21" s="4"/>
      <c r="AN21" s="4"/>
      <c r="AU21" s="5"/>
      <c r="AV21" s="4"/>
      <c r="AW21" s="4"/>
      <c r="AX21" s="4"/>
      <c r="AY21" s="4"/>
      <c r="AZ21" s="4"/>
      <c r="BA21" s="4"/>
      <c r="BB21" s="4"/>
    </row>
    <row r="22" spans="1:54" ht="20.100000000000001" customHeight="1" thickTop="1" thickBot="1" x14ac:dyDescent="0.3">
      <c r="A22" s="4"/>
      <c r="B22" s="299"/>
      <c r="C22" s="300"/>
      <c r="D22" s="8">
        <v>20</v>
      </c>
      <c r="E22" s="9">
        <v>25</v>
      </c>
      <c r="F22" s="10">
        <v>25</v>
      </c>
      <c r="G22" s="11">
        <v>7</v>
      </c>
      <c r="H22" s="307" t="s">
        <v>184</v>
      </c>
      <c r="I22" s="308"/>
      <c r="J22" s="5" t="s">
        <v>148</v>
      </c>
      <c r="K22" s="4"/>
      <c r="L22" s="4"/>
      <c r="M22" s="4"/>
      <c r="N22" s="4"/>
      <c r="O22" s="299"/>
      <c r="P22" s="300"/>
      <c r="Q22" s="8">
        <v>5</v>
      </c>
      <c r="R22" s="9">
        <v>22</v>
      </c>
      <c r="S22" s="10">
        <v>19</v>
      </c>
      <c r="T22" s="11">
        <v>11</v>
      </c>
      <c r="U22" s="307" t="s">
        <v>203</v>
      </c>
      <c r="V22" s="308"/>
      <c r="W22" s="5" t="s">
        <v>167</v>
      </c>
      <c r="X22" s="4"/>
      <c r="Y22" s="4"/>
      <c r="Z22" s="4"/>
      <c r="AA22" s="4"/>
      <c r="AJ22" s="5"/>
      <c r="AK22" s="4"/>
      <c r="AL22" s="4"/>
      <c r="AM22" s="4"/>
      <c r="AN22" s="4"/>
      <c r="AW22" s="5"/>
      <c r="AX22" s="4"/>
      <c r="AY22" s="4"/>
      <c r="AZ22" s="4"/>
      <c r="BA22" s="4"/>
      <c r="BB22" s="4"/>
    </row>
    <row r="23" spans="1:54" ht="20.100000000000001" customHeight="1" thickTop="1" thickBot="1" x14ac:dyDescent="0.3">
      <c r="A23" s="4"/>
      <c r="B23" s="299"/>
      <c r="C23" s="300"/>
      <c r="D23" s="8">
        <v>3</v>
      </c>
      <c r="E23" s="12">
        <v>16</v>
      </c>
      <c r="F23" s="13">
        <v>29</v>
      </c>
      <c r="G23" s="12">
        <v>15</v>
      </c>
      <c r="H23" s="14">
        <v>21</v>
      </c>
      <c r="I23" s="15">
        <v>11</v>
      </c>
      <c r="J23" s="309" t="s">
        <v>195</v>
      </c>
      <c r="K23" s="310"/>
      <c r="L23" s="5" t="s">
        <v>159</v>
      </c>
      <c r="M23" s="4"/>
      <c r="N23" s="4"/>
      <c r="O23" s="299"/>
      <c r="P23" s="300"/>
      <c r="Q23" s="8">
        <v>8</v>
      </c>
      <c r="R23" s="12">
        <v>27</v>
      </c>
      <c r="S23" s="13">
        <v>7</v>
      </c>
      <c r="T23" s="12">
        <v>23</v>
      </c>
      <c r="U23" s="14">
        <v>7</v>
      </c>
      <c r="V23" s="15">
        <v>11</v>
      </c>
      <c r="W23" s="309" t="s">
        <v>176</v>
      </c>
      <c r="X23" s="310"/>
      <c r="Y23" s="5" t="s">
        <v>140</v>
      </c>
      <c r="Z23" s="4"/>
      <c r="AA23" s="4"/>
      <c r="AL23" s="5"/>
      <c r="AM23" s="4"/>
      <c r="AN23" s="4"/>
      <c r="AY23" s="5"/>
      <c r="AZ23" s="4"/>
      <c r="BA23" s="4"/>
      <c r="BB23" s="4"/>
    </row>
    <row r="24" spans="1:54" ht="20.100000000000001" customHeight="1" thickTop="1" thickBot="1" x14ac:dyDescent="0.3">
      <c r="A24" s="4"/>
      <c r="B24" s="301"/>
      <c r="C24" s="302"/>
      <c r="N24" s="5"/>
      <c r="O24" s="301"/>
      <c r="P24" s="302"/>
      <c r="AA24" s="5"/>
      <c r="AN24" s="5"/>
      <c r="BA24" s="5"/>
      <c r="BB24" s="4"/>
    </row>
    <row r="25" spans="1:54" ht="20.100000000000001" customHeight="1" thickTop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</row>
  </sheetData>
  <mergeCells count="45">
    <mergeCell ref="AH4:AI4"/>
    <mergeCell ref="W5:X5"/>
    <mergeCell ref="B14:C18"/>
    <mergeCell ref="D14:E14"/>
    <mergeCell ref="F15:G15"/>
    <mergeCell ref="U16:V16"/>
    <mergeCell ref="W11:X11"/>
    <mergeCell ref="W17:X17"/>
    <mergeCell ref="D2:E2"/>
    <mergeCell ref="F3:G3"/>
    <mergeCell ref="B2:C6"/>
    <mergeCell ref="AJ5:AK5"/>
    <mergeCell ref="B8:C12"/>
    <mergeCell ref="D8:E8"/>
    <mergeCell ref="F9:G9"/>
    <mergeCell ref="H10:I10"/>
    <mergeCell ref="J11:K11"/>
    <mergeCell ref="H4:I4"/>
    <mergeCell ref="J5:K5"/>
    <mergeCell ref="O2:P6"/>
    <mergeCell ref="Q2:R2"/>
    <mergeCell ref="S3:T3"/>
    <mergeCell ref="U4:V4"/>
    <mergeCell ref="AB2:AC6"/>
    <mergeCell ref="AD2:AE2"/>
    <mergeCell ref="AF3:AG3"/>
    <mergeCell ref="H16:I16"/>
    <mergeCell ref="J17:K17"/>
    <mergeCell ref="O20:P24"/>
    <mergeCell ref="Q20:R20"/>
    <mergeCell ref="S21:T21"/>
    <mergeCell ref="O14:P18"/>
    <mergeCell ref="Q14:R14"/>
    <mergeCell ref="S15:T15"/>
    <mergeCell ref="U22:V22"/>
    <mergeCell ref="W23:X23"/>
    <mergeCell ref="O8:P12"/>
    <mergeCell ref="Q8:R8"/>
    <mergeCell ref="S9:T9"/>
    <mergeCell ref="U10:V10"/>
    <mergeCell ref="B20:C24"/>
    <mergeCell ref="D20:E20"/>
    <mergeCell ref="F21:G21"/>
    <mergeCell ref="H22:I22"/>
    <mergeCell ref="J23:K23"/>
  </mergeCells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A0F87-946A-48AA-9FF4-D33BF1C9628E}">
  <sheetPr codeName="Sheet8">
    <tabColor theme="7"/>
  </sheetPr>
  <dimension ref="A1:R300"/>
  <sheetViews>
    <sheetView zoomScale="63" zoomScaleNormal="63" workbookViewId="0">
      <selection activeCell="N34" sqref="N34"/>
    </sheetView>
  </sheetViews>
  <sheetFormatPr defaultRowHeight="15" x14ac:dyDescent="0.25"/>
  <cols>
    <col min="1" max="1" width="5.7109375" style="45" customWidth="1"/>
    <col min="2" max="2" width="50.7109375" style="45" customWidth="1"/>
    <col min="3" max="3" width="5.7109375" style="45" customWidth="1"/>
    <col min="4" max="4" width="50.7109375" style="45" customWidth="1"/>
    <col min="5" max="5" width="5.7109375" style="45" customWidth="1"/>
    <col min="6" max="6" width="50.7109375" style="45" customWidth="1"/>
    <col min="7" max="7" width="5.7109375" style="45" customWidth="1"/>
    <col min="8" max="8" width="50.7109375" style="45" customWidth="1"/>
    <col min="9" max="9" width="5.7109375" style="45" customWidth="1"/>
    <col min="10" max="10" width="50.7109375" style="45" customWidth="1"/>
    <col min="11" max="11" width="5.7109375" style="45" customWidth="1"/>
    <col min="12" max="12" width="50.7109375" style="45" customWidth="1"/>
    <col min="13" max="13" width="5.7109375" style="45" customWidth="1"/>
    <col min="14" max="14" width="50.7109375" style="45" customWidth="1"/>
    <col min="15" max="15" width="5.7109375" style="45" customWidth="1"/>
    <col min="16" max="16" width="50.7109375" style="45" customWidth="1"/>
    <col min="17" max="17" width="5.7109375" style="45" customWidth="1"/>
    <col min="18" max="18" width="50.7109375" style="45" customWidth="1"/>
    <col min="19" max="19" width="5.7109375" style="45" customWidth="1"/>
    <col min="20" max="20" width="50.7109375" style="45" customWidth="1"/>
    <col min="21" max="21" width="5.7109375" style="45" customWidth="1"/>
    <col min="22" max="22" width="50.7109375" style="45" customWidth="1"/>
    <col min="23" max="16384" width="9.140625" style="45"/>
  </cols>
  <sheetData>
    <row r="1" spans="1:18" ht="45" customHeight="1" x14ac:dyDescent="0.25">
      <c r="A1" s="114"/>
      <c r="B1" s="114"/>
      <c r="C1" s="114"/>
      <c r="D1" s="114"/>
      <c r="E1" s="114"/>
      <c r="F1" s="114"/>
      <c r="G1" s="114"/>
      <c r="H1" s="114"/>
      <c r="I1" s="115"/>
      <c r="J1" s="116" t="s">
        <v>210</v>
      </c>
      <c r="K1" s="115"/>
      <c r="L1" s="114"/>
      <c r="M1" s="114"/>
      <c r="N1" s="114"/>
      <c r="O1" s="114"/>
      <c r="P1" s="114"/>
      <c r="Q1" s="114"/>
      <c r="R1" s="114"/>
    </row>
    <row r="2" spans="1:18" ht="9.9499999999999993" customHeight="1" x14ac:dyDescent="0.2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spans="1:18" ht="20.100000000000001" customHeight="1" thickBot="1" x14ac:dyDescent="0.3">
      <c r="A3" s="114"/>
      <c r="B3" s="114"/>
      <c r="C3" s="114"/>
      <c r="D3" s="114"/>
      <c r="E3" s="114"/>
      <c r="F3" s="114"/>
      <c r="G3" s="114"/>
      <c r="H3" s="114"/>
      <c r="I3" s="273">
        <v>1</v>
      </c>
      <c r="J3" s="117" t="s">
        <v>158</v>
      </c>
      <c r="K3" s="118"/>
      <c r="L3" s="114"/>
      <c r="M3" s="114"/>
      <c r="N3" s="114"/>
      <c r="O3" s="114"/>
      <c r="P3" s="114"/>
      <c r="Q3" s="114"/>
      <c r="R3" s="114"/>
    </row>
    <row r="4" spans="1:18" ht="20.100000000000001" customHeight="1" thickTop="1" x14ac:dyDescent="0.25">
      <c r="A4" s="114"/>
      <c r="B4" s="114"/>
      <c r="C4" s="114"/>
      <c r="D4" s="114"/>
      <c r="E4" s="114"/>
      <c r="F4" s="114"/>
      <c r="G4" s="114"/>
      <c r="H4" s="119"/>
      <c r="I4" s="274"/>
      <c r="J4" s="120" t="str">
        <f>IF(ISBLANK(J3),"",IFERROR(_xlfn.XLOOKUP(J3,'List of Teams'!$B$2:$B$65,'List of Teams'!$C$2:$C$65),""))</f>
        <v>team 22</v>
      </c>
      <c r="K4" s="121"/>
      <c r="L4" s="114"/>
      <c r="M4" s="114"/>
      <c r="N4" s="114"/>
      <c r="O4" s="114"/>
      <c r="P4" s="114"/>
      <c r="Q4" s="114"/>
      <c r="R4" s="114"/>
    </row>
    <row r="5" spans="1:18" ht="20.100000000000001" customHeight="1" thickBot="1" x14ac:dyDescent="0.3">
      <c r="A5" s="114"/>
      <c r="B5" s="114"/>
      <c r="C5" s="114"/>
      <c r="D5" s="114"/>
      <c r="E5" s="114"/>
      <c r="F5" s="114"/>
      <c r="G5" s="127"/>
      <c r="H5" s="123" t="str">
        <f>IF(J8="Bye",J8,IF(OR(ISBLANK(J3),ISBLANK(J8)),"",IF(OR(ISBLANK(K3),ISBLANK(K8)),"",IF(K3&lt;K8,J3,J8))))</f>
        <v/>
      </c>
      <c r="I5" s="275"/>
      <c r="J5" s="124" t="s">
        <v>40</v>
      </c>
      <c r="K5" s="125"/>
      <c r="L5" s="126" t="str">
        <f>IF(J8="Bye",J3,IF(OR(ISBLANK(J3),ISBLANK(J8)),"",IF(OR(ISBLANK(K3),ISBLANK(K8)),"",IF(K3&gt;K8,J3,J8))))</f>
        <v/>
      </c>
      <c r="M5" s="127"/>
      <c r="N5" s="114"/>
      <c r="O5" s="114"/>
      <c r="P5" s="114"/>
      <c r="Q5" s="114"/>
      <c r="R5" s="114"/>
    </row>
    <row r="6" spans="1:18" ht="20.100000000000001" customHeight="1" thickTop="1" x14ac:dyDescent="0.35">
      <c r="A6" s="114"/>
      <c r="B6" s="114"/>
      <c r="C6" s="114"/>
      <c r="D6" s="114"/>
      <c r="E6" s="114"/>
      <c r="F6" s="114"/>
      <c r="G6" s="128"/>
      <c r="H6" s="129" t="str">
        <f>IF(H5="","",IF(K3&lt;K8,K3&amp;"-"&amp;K8,K8&amp;"-"&amp;K3))</f>
        <v/>
      </c>
      <c r="I6" s="273"/>
      <c r="J6" s="130" t="s">
        <v>32</v>
      </c>
      <c r="K6" s="125"/>
      <c r="L6" s="131" t="str">
        <f>IF(L5="","",IF(K3&gt;K8,K3&amp;"-"&amp;K8,K8&amp;"-"&amp;K3))</f>
        <v/>
      </c>
      <c r="M6" s="132"/>
      <c r="N6" s="133"/>
      <c r="O6" s="114"/>
      <c r="P6" s="114"/>
      <c r="Q6" s="114"/>
      <c r="R6" s="114"/>
    </row>
    <row r="7" spans="1:18" ht="20.100000000000001" customHeight="1" thickBot="1" x14ac:dyDescent="0.3">
      <c r="A7" s="114"/>
      <c r="B7" s="114"/>
      <c r="C7" s="114"/>
      <c r="D7" s="114"/>
      <c r="E7" s="114"/>
      <c r="F7" s="114"/>
      <c r="G7" s="134"/>
      <c r="H7" s="135"/>
      <c r="I7" s="276"/>
      <c r="J7" s="136" t="str">
        <f>IF(ISBLANK(J8),"",IFERROR(_xlfn.XLOOKUP(J8,'List of Teams'!$B$2:$B$65,'List of Teams'!$C$2:$C$65),""))</f>
        <v>team 31</v>
      </c>
      <c r="K7" s="137"/>
      <c r="L7" s="132"/>
      <c r="M7" s="132"/>
      <c r="N7" s="133"/>
      <c r="O7" s="114"/>
      <c r="P7" s="114"/>
      <c r="Q7" s="114"/>
      <c r="R7" s="114"/>
    </row>
    <row r="8" spans="1:18" ht="20.100000000000001" customHeight="1" thickTop="1" x14ac:dyDescent="0.25">
      <c r="A8" s="114"/>
      <c r="B8" s="114"/>
      <c r="C8" s="114"/>
      <c r="D8" s="114"/>
      <c r="E8" s="114"/>
      <c r="F8" s="114"/>
      <c r="G8" s="134"/>
      <c r="H8" s="132"/>
      <c r="I8" s="273">
        <v>16</v>
      </c>
      <c r="J8" s="117" t="s">
        <v>167</v>
      </c>
      <c r="K8" s="138"/>
      <c r="L8" s="132"/>
      <c r="M8" s="132"/>
      <c r="N8" s="133"/>
      <c r="O8" s="114"/>
      <c r="P8" s="114"/>
      <c r="Q8" s="114"/>
      <c r="R8" s="114"/>
    </row>
    <row r="9" spans="1:18" ht="20.100000000000001" customHeight="1" thickBot="1" x14ac:dyDescent="0.3">
      <c r="A9" s="114"/>
      <c r="B9" s="114"/>
      <c r="C9" s="114"/>
      <c r="D9" s="114"/>
      <c r="E9" s="144"/>
      <c r="F9" s="140" t="str">
        <f>IF(H14="Bye",H5,IF(OR(ISBLANK(H5),ISBLANK(H14)),"",IF(OR(ISBLANK(G5),ISBLANK(G14)),"",IF(G5&gt;G14,H5,H14))))</f>
        <v/>
      </c>
      <c r="G9" s="134"/>
      <c r="H9" s="141" t="s">
        <v>49</v>
      </c>
      <c r="I9" s="142"/>
      <c r="J9" s="132"/>
      <c r="K9" s="132"/>
      <c r="L9" s="141" t="s">
        <v>36</v>
      </c>
      <c r="M9" s="132"/>
      <c r="N9" s="143" t="str">
        <f>IF(L14="Bye",L5,IF(OR(ISBLANK(L5),ISBLANK(L14)),"",IF(OR(ISBLANK(M5),ISBLANK(M14)),"",IF(M5&gt;M14,L5,L14))))</f>
        <v/>
      </c>
      <c r="O9" s="144"/>
      <c r="P9" s="114"/>
      <c r="Q9" s="114"/>
      <c r="R9" s="114"/>
    </row>
    <row r="10" spans="1:18" ht="20.100000000000001" customHeight="1" thickTop="1" x14ac:dyDescent="0.35">
      <c r="A10" s="114"/>
      <c r="B10" s="114"/>
      <c r="C10" s="114"/>
      <c r="D10" s="114"/>
      <c r="E10" s="145"/>
      <c r="F10" s="146" t="str">
        <f>IF(F9="","",IF(G5&gt;G14,G5&amp;"-"&amp;G14,G14&amp;"-"&amp;G5))</f>
        <v/>
      </c>
      <c r="G10" s="134"/>
      <c r="H10" s="147" t="s">
        <v>32</v>
      </c>
      <c r="I10" s="142"/>
      <c r="J10" s="132"/>
      <c r="K10" s="132"/>
      <c r="L10" s="147" t="s">
        <v>32</v>
      </c>
      <c r="M10" s="132"/>
      <c r="N10" s="148" t="str">
        <f>IF(N9="","",IF(M5&gt;M14,M5&amp;"-"&amp;M14,M14&amp;"-"&amp;M5))</f>
        <v/>
      </c>
      <c r="O10" s="149"/>
      <c r="P10" s="133"/>
      <c r="Q10" s="114"/>
      <c r="R10" s="114"/>
    </row>
    <row r="11" spans="1:18" ht="20.100000000000001" customHeight="1" thickBot="1" x14ac:dyDescent="0.3">
      <c r="A11" s="114"/>
      <c r="B11" s="114"/>
      <c r="C11" s="114"/>
      <c r="D11" s="114"/>
      <c r="E11" s="150"/>
      <c r="F11" s="149"/>
      <c r="G11" s="134"/>
      <c r="H11" s="132"/>
      <c r="I11" s="273">
        <v>8</v>
      </c>
      <c r="J11" s="117" t="s">
        <v>163</v>
      </c>
      <c r="K11" s="118"/>
      <c r="L11" s="132"/>
      <c r="M11" s="132"/>
      <c r="N11" s="150"/>
      <c r="O11" s="149"/>
      <c r="P11" s="133"/>
      <c r="Q11" s="114"/>
      <c r="R11" s="114"/>
    </row>
    <row r="12" spans="1:18" ht="20.100000000000001" customHeight="1" thickTop="1" x14ac:dyDescent="0.25">
      <c r="A12" s="114"/>
      <c r="B12" s="114"/>
      <c r="C12" s="114"/>
      <c r="D12" s="114"/>
      <c r="E12" s="150"/>
      <c r="F12" s="149"/>
      <c r="G12" s="134"/>
      <c r="H12" s="135"/>
      <c r="I12" s="274"/>
      <c r="J12" s="120" t="str">
        <f>IF(ISBLANK(J11),"",IFERROR(_xlfn.XLOOKUP(J11,'List of Teams'!$B$2:$B$65,'List of Teams'!$C$2:$C$65),""))</f>
        <v>team 27</v>
      </c>
      <c r="K12" s="121"/>
      <c r="L12" s="132"/>
      <c r="M12" s="132"/>
      <c r="N12" s="150"/>
      <c r="O12" s="149"/>
      <c r="P12" s="133"/>
      <c r="Q12" s="114"/>
      <c r="R12" s="114"/>
    </row>
    <row r="13" spans="1:18" ht="20.100000000000001" customHeight="1" thickBot="1" x14ac:dyDescent="0.3">
      <c r="A13" s="114"/>
      <c r="B13" s="114"/>
      <c r="C13" s="114"/>
      <c r="D13" s="114"/>
      <c r="E13" s="150"/>
      <c r="F13" s="149"/>
      <c r="G13" s="151"/>
      <c r="H13" s="152" t="str">
        <f>IF(H14="","",IF(K11&lt;K16,K11&amp;"-"&amp;K16,K16&amp;"-"&amp;K11))</f>
        <v/>
      </c>
      <c r="I13" s="273"/>
      <c r="J13" s="124" t="s">
        <v>41</v>
      </c>
      <c r="K13" s="125"/>
      <c r="L13" s="131" t="str">
        <f>IF(L14="","",IF(K11&gt;K16,K11&amp;"-"&amp;K16,K16&amp;"-"&amp;K11))</f>
        <v/>
      </c>
      <c r="M13" s="153"/>
      <c r="N13" s="150"/>
      <c r="O13" s="149"/>
      <c r="P13" s="133"/>
      <c r="Q13" s="114"/>
      <c r="R13" s="114"/>
    </row>
    <row r="14" spans="1:18" ht="20.100000000000001" customHeight="1" thickTop="1" x14ac:dyDescent="0.35">
      <c r="A14" s="114"/>
      <c r="B14" s="114"/>
      <c r="C14" s="114"/>
      <c r="D14" s="114"/>
      <c r="E14" s="150"/>
      <c r="F14" s="149"/>
      <c r="G14" s="154"/>
      <c r="H14" s="155" t="str">
        <f>IF(J16="Bye",J16,IF(OR(ISBLANK(J11),ISBLANK(J16)),"",IF(OR(ISBLANK(K11),ISBLANK(K16)),"",IF(K11&lt;K16,J11,J16))))</f>
        <v/>
      </c>
      <c r="I14" s="275"/>
      <c r="J14" s="130" t="s">
        <v>32</v>
      </c>
      <c r="K14" s="125"/>
      <c r="L14" s="156" t="str">
        <f>IF(J16="Bye",J11,IF(OR(ISBLANK(J11),ISBLANK(J16)),"",IF(OR(ISBLANK(K11),ISBLANK(K16)),"",IF(K11&gt;K16,J11,J16))))</f>
        <v/>
      </c>
      <c r="M14" s="154"/>
      <c r="N14" s="149"/>
      <c r="O14" s="149"/>
      <c r="P14" s="133"/>
      <c r="Q14" s="114"/>
      <c r="R14" s="114"/>
    </row>
    <row r="15" spans="1:18" ht="20.100000000000001" customHeight="1" thickBot="1" x14ac:dyDescent="0.3">
      <c r="A15" s="114"/>
      <c r="B15" s="114"/>
      <c r="C15" s="114"/>
      <c r="D15" s="114"/>
      <c r="E15" s="150"/>
      <c r="F15" s="149"/>
      <c r="G15" s="149"/>
      <c r="H15" s="157"/>
      <c r="I15" s="276"/>
      <c r="J15" s="136" t="str">
        <f>IF(ISBLANK(J16),"",IFERROR(_xlfn.XLOOKUP(J16,'List of Teams'!$B$2:$B$65,'List of Teams'!$C$2:$C$65),""))</f>
        <v>team 36</v>
      </c>
      <c r="K15" s="137"/>
      <c r="L15" s="149"/>
      <c r="M15" s="149"/>
      <c r="N15" s="149"/>
      <c r="O15" s="149"/>
      <c r="P15" s="133"/>
      <c r="Q15" s="114"/>
      <c r="R15" s="114"/>
    </row>
    <row r="16" spans="1:18" ht="20.100000000000001" customHeight="1" thickTop="1" x14ac:dyDescent="0.25">
      <c r="A16" s="114"/>
      <c r="B16" s="114"/>
      <c r="C16" s="114"/>
      <c r="D16" s="114"/>
      <c r="E16" s="150"/>
      <c r="F16" s="159" t="s">
        <v>53</v>
      </c>
      <c r="G16" s="149"/>
      <c r="H16" s="149"/>
      <c r="I16" s="273">
        <v>9</v>
      </c>
      <c r="J16" s="117" t="s">
        <v>172</v>
      </c>
      <c r="K16" s="138"/>
      <c r="L16" s="149"/>
      <c r="M16" s="149"/>
      <c r="N16" s="159" t="s">
        <v>34</v>
      </c>
      <c r="O16" s="149"/>
      <c r="P16" s="133"/>
      <c r="Q16" s="114"/>
      <c r="R16" s="114"/>
    </row>
    <row r="17" spans="1:18" ht="20.100000000000001" customHeight="1" thickBot="1" x14ac:dyDescent="0.4">
      <c r="A17" s="114"/>
      <c r="B17" s="114"/>
      <c r="C17" s="178"/>
      <c r="D17" s="179" t="str">
        <f>IF(F26="Bye",F9,IF(OR(ISBLANK(F9),ISBLANK(F26)),"",IF(OR(ISBLANK(E9),ISBLANK(E26)),"",IF(E9&gt;E26,F9,F26))))</f>
        <v/>
      </c>
      <c r="E17" s="150"/>
      <c r="F17" s="161" t="s">
        <v>32</v>
      </c>
      <c r="G17" s="149"/>
      <c r="H17" s="149"/>
      <c r="I17" s="149"/>
      <c r="J17" s="149"/>
      <c r="K17" s="149"/>
      <c r="L17" s="149"/>
      <c r="M17" s="149"/>
      <c r="N17" s="161" t="s">
        <v>32</v>
      </c>
      <c r="O17" s="149"/>
      <c r="P17" s="180" t="str">
        <f>IF(N26="Bye",N9,IF(OR(ISBLANK(N9),ISBLANK(N26)),"",IF(OR(ISBLANK(O9),ISBLANK(O26)),"",IF(O9&gt;O26,N9,N26))))</f>
        <v/>
      </c>
      <c r="Q17" s="178"/>
      <c r="R17" s="114"/>
    </row>
    <row r="18" spans="1:18" ht="20.100000000000001" customHeight="1" thickTop="1" x14ac:dyDescent="0.25">
      <c r="A18" s="114"/>
      <c r="B18" s="114"/>
      <c r="C18" s="181"/>
      <c r="D18" s="182" t="str">
        <f>IF(D17="","",IF(E9&gt;E26,E9&amp;"-"&amp;E26,E26&amp;"-"&amp;E9))</f>
        <v/>
      </c>
      <c r="E18" s="150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83" t="str">
        <f>IF(P17="","",IF(O9&gt;O26,O9&amp;"-"&amp;O26,O26&amp;"-"&amp;O9))</f>
        <v/>
      </c>
      <c r="Q18" s="184"/>
      <c r="R18" s="133"/>
    </row>
    <row r="19" spans="1:18" ht="20.100000000000001" customHeight="1" thickBot="1" x14ac:dyDescent="0.3">
      <c r="A19" s="114"/>
      <c r="B19" s="114"/>
      <c r="C19" s="185"/>
      <c r="D19" s="184"/>
      <c r="E19" s="150"/>
      <c r="F19" s="149"/>
      <c r="G19" s="149"/>
      <c r="H19" s="149"/>
      <c r="I19" s="273">
        <v>5</v>
      </c>
      <c r="J19" s="117" t="s">
        <v>142</v>
      </c>
      <c r="K19" s="118"/>
      <c r="L19" s="149"/>
      <c r="M19" s="149"/>
      <c r="N19" s="149"/>
      <c r="O19" s="149"/>
      <c r="P19" s="185"/>
      <c r="Q19" s="184"/>
      <c r="R19" s="133"/>
    </row>
    <row r="20" spans="1:18" ht="20.100000000000001" customHeight="1" thickTop="1" x14ac:dyDescent="0.25">
      <c r="A20" s="114"/>
      <c r="B20" s="114"/>
      <c r="C20" s="185"/>
      <c r="D20" s="184"/>
      <c r="E20" s="150"/>
      <c r="F20" s="149"/>
      <c r="G20" s="149"/>
      <c r="H20" s="157"/>
      <c r="I20" s="274"/>
      <c r="J20" s="120" t="str">
        <f>IF(ISBLANK(J19),"",IFERROR(_xlfn.XLOOKUP(J19,'List of Teams'!$B$2:$B$65,'List of Teams'!$C$2:$C$65),""))</f>
        <v>team 6</v>
      </c>
      <c r="K20" s="121"/>
      <c r="L20" s="149"/>
      <c r="M20" s="149"/>
      <c r="N20" s="149"/>
      <c r="O20" s="149"/>
      <c r="P20" s="185"/>
      <c r="Q20" s="184"/>
      <c r="R20" s="133"/>
    </row>
    <row r="21" spans="1:18" ht="20.100000000000001" customHeight="1" thickBot="1" x14ac:dyDescent="0.3">
      <c r="A21" s="114"/>
      <c r="B21" s="114"/>
      <c r="C21" s="185"/>
      <c r="D21" s="184"/>
      <c r="E21" s="150"/>
      <c r="F21" s="149"/>
      <c r="G21" s="127"/>
      <c r="H21" s="123" t="str">
        <f>IF(J24="Bye",J24,IF(OR(ISBLANK(J19),ISBLANK(J24)),"",IF(OR(ISBLANK(K19),ISBLANK(K24)),"",IF(K19&lt;K24,J19,J24))))</f>
        <v/>
      </c>
      <c r="I21" s="275"/>
      <c r="J21" s="124" t="s">
        <v>42</v>
      </c>
      <c r="K21" s="125"/>
      <c r="L21" s="126" t="str">
        <f>IF(J24="Bye",J19,IF(OR(ISBLANK(J19),ISBLANK(J24)),"",IF(OR(ISBLANK(K19),ISBLANK(K24)),"",IF(K19&gt;K24,J19,J24))))</f>
        <v/>
      </c>
      <c r="M21" s="127"/>
      <c r="N21" s="149"/>
      <c r="O21" s="149"/>
      <c r="P21" s="185"/>
      <c r="Q21" s="184"/>
      <c r="R21" s="133"/>
    </row>
    <row r="22" spans="1:18" ht="20.100000000000001" customHeight="1" thickTop="1" x14ac:dyDescent="0.35">
      <c r="A22" s="114"/>
      <c r="B22" s="114"/>
      <c r="C22" s="185"/>
      <c r="D22" s="184"/>
      <c r="E22" s="150"/>
      <c r="F22" s="149"/>
      <c r="G22" s="128"/>
      <c r="H22" s="129" t="str">
        <f>IF(H21="","",IF(K19&lt;K24,K19&amp;"-"&amp;K24,K24&amp;"-"&amp;K19))</f>
        <v/>
      </c>
      <c r="I22" s="273"/>
      <c r="J22" s="130" t="s">
        <v>32</v>
      </c>
      <c r="K22" s="125"/>
      <c r="L22" s="131" t="str">
        <f>IF(L21="","",IF(K19&gt;K24,K19&amp;"-"&amp;K24,K24&amp;"-"&amp;K19))</f>
        <v/>
      </c>
      <c r="M22" s="132"/>
      <c r="N22" s="150"/>
      <c r="O22" s="149"/>
      <c r="P22" s="185"/>
      <c r="Q22" s="184"/>
      <c r="R22" s="133"/>
    </row>
    <row r="23" spans="1:18" ht="20.100000000000001" customHeight="1" thickBot="1" x14ac:dyDescent="0.3">
      <c r="A23" s="114"/>
      <c r="B23" s="114"/>
      <c r="C23" s="185"/>
      <c r="D23" s="184"/>
      <c r="E23" s="150"/>
      <c r="F23" s="149"/>
      <c r="G23" s="134"/>
      <c r="H23" s="135"/>
      <c r="I23" s="276"/>
      <c r="J23" s="136" t="str">
        <f>IF(ISBLANK(J24),"",IFERROR(_xlfn.XLOOKUP(J24,'List of Teams'!$B$2:$B$65,'List of Teams'!$C$2:$C$65),""))</f>
        <v>team 28</v>
      </c>
      <c r="K23" s="137"/>
      <c r="L23" s="132"/>
      <c r="M23" s="132"/>
      <c r="N23" s="150"/>
      <c r="O23" s="149"/>
      <c r="P23" s="185"/>
      <c r="Q23" s="184"/>
      <c r="R23" s="133"/>
    </row>
    <row r="24" spans="1:18" ht="20.100000000000001" customHeight="1" thickTop="1" x14ac:dyDescent="0.25">
      <c r="A24" s="114"/>
      <c r="B24" s="114"/>
      <c r="C24" s="185"/>
      <c r="D24" s="184"/>
      <c r="E24" s="150"/>
      <c r="F24" s="149"/>
      <c r="G24" s="134"/>
      <c r="H24" s="132"/>
      <c r="I24" s="273">
        <v>12</v>
      </c>
      <c r="J24" s="117" t="s">
        <v>164</v>
      </c>
      <c r="K24" s="138"/>
      <c r="L24" s="132"/>
      <c r="M24" s="132"/>
      <c r="N24" s="150"/>
      <c r="O24" s="149"/>
      <c r="P24" s="185"/>
      <c r="Q24" s="184"/>
      <c r="R24" s="133"/>
    </row>
    <row r="25" spans="1:18" ht="20.100000000000001" customHeight="1" thickBot="1" x14ac:dyDescent="0.3">
      <c r="A25" s="114"/>
      <c r="B25" s="114"/>
      <c r="C25" s="185"/>
      <c r="D25" s="184"/>
      <c r="E25" s="163"/>
      <c r="F25" s="164" t="str">
        <f>IF(F26="","",IF(G21&gt;G30,G21&amp;"-"&amp;G30,G30&amp;"-"&amp;G21))</f>
        <v/>
      </c>
      <c r="G25" s="134"/>
      <c r="H25" s="141" t="s">
        <v>52</v>
      </c>
      <c r="I25" s="142"/>
      <c r="J25" s="132"/>
      <c r="K25" s="132"/>
      <c r="L25" s="141" t="s">
        <v>37</v>
      </c>
      <c r="M25" s="132"/>
      <c r="N25" s="165" t="str">
        <f>IF(N26="","",IF(M21&gt;M30,M21&amp;"-"&amp;M30,M30&amp;"-"&amp;M21))</f>
        <v/>
      </c>
      <c r="O25" s="166"/>
      <c r="P25" s="185"/>
      <c r="Q25" s="184"/>
      <c r="R25" s="133"/>
    </row>
    <row r="26" spans="1:18" ht="20.100000000000001" customHeight="1" thickTop="1" x14ac:dyDescent="0.35">
      <c r="A26" s="114"/>
      <c r="B26" s="114"/>
      <c r="C26" s="185"/>
      <c r="D26" s="184"/>
      <c r="E26" s="167"/>
      <c r="F26" s="168" t="str">
        <f>IF(H30="Bye",H21,IF(OR(ISBLANK(H21),ISBLANK(H30)),"",IF(OR(ISBLANK(G21),ISBLANK(G30)),"",IF(G21&gt;G30,H21,H30))))</f>
        <v/>
      </c>
      <c r="G26" s="134"/>
      <c r="H26" s="147" t="s">
        <v>32</v>
      </c>
      <c r="I26" s="142"/>
      <c r="J26" s="132"/>
      <c r="K26" s="132"/>
      <c r="L26" s="147" t="s">
        <v>32</v>
      </c>
      <c r="M26" s="132"/>
      <c r="N26" s="169" t="str">
        <f>IF(L30="Bye",L21,IF(OR(ISBLANK(L21),ISBLANK(L30)),"",IF(OR(ISBLANK(M21),ISBLANK(M30)),"",IF(M21&gt;M30,L21,L30))))</f>
        <v/>
      </c>
      <c r="O26" s="167"/>
      <c r="P26" s="184"/>
      <c r="Q26" s="184"/>
      <c r="R26" s="133"/>
    </row>
    <row r="27" spans="1:18" ht="20.100000000000001" customHeight="1" thickBot="1" x14ac:dyDescent="0.3">
      <c r="A27" s="114"/>
      <c r="B27" s="114"/>
      <c r="C27" s="185"/>
      <c r="D27" s="184"/>
      <c r="E27" s="184"/>
      <c r="F27" s="184"/>
      <c r="G27" s="134"/>
      <c r="H27" s="132"/>
      <c r="I27" s="273">
        <v>4</v>
      </c>
      <c r="J27" s="117" t="s">
        <v>152</v>
      </c>
      <c r="K27" s="118"/>
      <c r="L27" s="132"/>
      <c r="M27" s="132"/>
      <c r="N27" s="185"/>
      <c r="O27" s="184"/>
      <c r="P27" s="184"/>
      <c r="Q27" s="184"/>
      <c r="R27" s="133"/>
    </row>
    <row r="28" spans="1:18" ht="20.100000000000001" customHeight="1" thickTop="1" x14ac:dyDescent="0.25">
      <c r="A28" s="114"/>
      <c r="B28" s="114"/>
      <c r="C28" s="185"/>
      <c r="D28" s="184"/>
      <c r="E28" s="184"/>
      <c r="F28" s="184"/>
      <c r="G28" s="134"/>
      <c r="H28" s="135"/>
      <c r="I28" s="274"/>
      <c r="J28" s="120" t="str">
        <f>IF(ISBLANK(J27),"",IFERROR(_xlfn.XLOOKUP(J27,'List of Teams'!$B$2:$B$65,'List of Teams'!$C$2:$C$65),""))</f>
        <v>team 16</v>
      </c>
      <c r="K28" s="121"/>
      <c r="L28" s="132"/>
      <c r="M28" s="132"/>
      <c r="N28" s="185"/>
      <c r="O28" s="184"/>
      <c r="P28" s="184"/>
      <c r="Q28" s="184"/>
      <c r="R28" s="133"/>
    </row>
    <row r="29" spans="1:18" ht="20.100000000000001" customHeight="1" thickBot="1" x14ac:dyDescent="0.3">
      <c r="A29" s="114"/>
      <c r="B29" s="114"/>
      <c r="C29" s="185"/>
      <c r="D29" s="184"/>
      <c r="E29" s="184"/>
      <c r="F29" s="184"/>
      <c r="G29" s="151"/>
      <c r="H29" s="152" t="str">
        <f>IF(H30="","",IF(K27&lt;K32,K27&amp;"-"&amp;K32,K32&amp;"-"&amp;K27))</f>
        <v/>
      </c>
      <c r="I29" s="273"/>
      <c r="J29" s="124" t="s">
        <v>43</v>
      </c>
      <c r="K29" s="125"/>
      <c r="L29" s="131" t="str">
        <f>IF(L30="","",IF(K27&gt;K32,K27&amp;"-"&amp;K32,K32&amp;"-"&amp;K27))</f>
        <v/>
      </c>
      <c r="M29" s="153"/>
      <c r="N29" s="185"/>
      <c r="O29" s="184"/>
      <c r="P29" s="184"/>
      <c r="Q29" s="184"/>
      <c r="R29" s="133"/>
    </row>
    <row r="30" spans="1:18" ht="20.100000000000001" customHeight="1" thickTop="1" x14ac:dyDescent="0.35">
      <c r="A30" s="114"/>
      <c r="B30" s="114"/>
      <c r="C30" s="185"/>
      <c r="D30" s="184"/>
      <c r="E30" s="184"/>
      <c r="F30" s="184"/>
      <c r="G30" s="154"/>
      <c r="H30" s="155" t="str">
        <f>IF(J32="Bye",J32,IF(OR(ISBLANK(J27),ISBLANK(J32)),"",IF(OR(ISBLANK(K27),ISBLANK(K32)),"",IF(K27&lt;K32,J27,J32))))</f>
        <v/>
      </c>
      <c r="I30" s="275"/>
      <c r="J30" s="130" t="s">
        <v>32</v>
      </c>
      <c r="K30" s="125"/>
      <c r="L30" s="156" t="str">
        <f>IF(J32="Bye",J27,IF(OR(ISBLANK(J27),ISBLANK(J32)),"",IF(OR(ISBLANK(K27),ISBLANK(K32)),"",IF(K27&gt;K32,J27,J32))))</f>
        <v/>
      </c>
      <c r="M30" s="154"/>
      <c r="N30" s="184"/>
      <c r="O30" s="184"/>
      <c r="P30" s="184"/>
      <c r="Q30" s="184"/>
      <c r="R30" s="133"/>
    </row>
    <row r="31" spans="1:18" ht="20.100000000000001" customHeight="1" thickBot="1" x14ac:dyDescent="0.3">
      <c r="A31" s="114"/>
      <c r="B31" s="114"/>
      <c r="C31" s="185"/>
      <c r="D31" s="184"/>
      <c r="E31" s="184"/>
      <c r="F31" s="184"/>
      <c r="G31" s="184"/>
      <c r="H31" s="186"/>
      <c r="I31" s="276"/>
      <c r="J31" s="136" t="str">
        <f>IF(ISBLANK(J32),"",IFERROR(_xlfn.XLOOKUP(J32,'List of Teams'!$B$2:$B$65,'List of Teams'!$C$2:$C$65),""))</f>
        <v>team 13</v>
      </c>
      <c r="K31" s="137"/>
      <c r="L31" s="184"/>
      <c r="M31" s="184"/>
      <c r="N31" s="184"/>
      <c r="O31" s="184"/>
      <c r="P31" s="184"/>
      <c r="Q31" s="184"/>
      <c r="R31" s="133"/>
    </row>
    <row r="32" spans="1:18" ht="20.100000000000001" customHeight="1" thickTop="1" x14ac:dyDescent="0.25">
      <c r="A32" s="114"/>
      <c r="B32" s="114"/>
      <c r="C32" s="185"/>
      <c r="D32" s="184"/>
      <c r="E32" s="184"/>
      <c r="F32" s="184"/>
      <c r="G32" s="184"/>
      <c r="H32" s="184"/>
      <c r="I32" s="273">
        <v>13</v>
      </c>
      <c r="J32" s="117" t="s">
        <v>149</v>
      </c>
      <c r="K32" s="138"/>
      <c r="L32" s="184"/>
      <c r="M32" s="184"/>
      <c r="N32" s="184"/>
      <c r="O32" s="184"/>
      <c r="P32" s="184"/>
      <c r="Q32" s="184"/>
      <c r="R32" s="133"/>
    </row>
    <row r="33" spans="1:18" ht="20.100000000000001" customHeight="1" thickBot="1" x14ac:dyDescent="0.3">
      <c r="A33" s="114"/>
      <c r="B33" s="179" t="str">
        <f>IF(D50="Bye",D17,IF(OR(ISBLANK(D17),ISBLANK(D50)),"",IF(OR(ISBLANK(C17),ISBLANK(C50)),"",IF(C17&gt;C50,D17,D50))))</f>
        <v/>
      </c>
      <c r="C33" s="185"/>
      <c r="D33" s="187" t="s">
        <v>55</v>
      </c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7" t="s">
        <v>33</v>
      </c>
      <c r="Q33" s="184"/>
      <c r="R33" s="180" t="str">
        <f>IF(P50="Bye",P17,IF(OR(ISBLANK(P17),ISBLANK(P50)),"",IF(OR(ISBLANK(Q17),ISBLANK(Q50)),"",IF(Q17&gt;Q50,P17,P50))))</f>
        <v/>
      </c>
    </row>
    <row r="34" spans="1:18" ht="20.100000000000001" customHeight="1" thickTop="1" x14ac:dyDescent="0.35">
      <c r="A34" s="114"/>
      <c r="B34" s="160" t="str">
        <f>IF(B33="","",IF(C17&gt;C50,C17&amp;"-"&amp;C50,C50&amp;"-"&amp;C17))</f>
        <v/>
      </c>
      <c r="C34" s="185"/>
      <c r="D34" s="188" t="s">
        <v>32</v>
      </c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8" t="s">
        <v>32</v>
      </c>
      <c r="Q34" s="184"/>
      <c r="R34" s="162" t="str">
        <f>IF(R33="","",IF(Q17&gt;Q50,Q17&amp;"-"&amp;Q50,Q50&amp;"-"&amp;Q17))</f>
        <v/>
      </c>
    </row>
    <row r="35" spans="1:18" ht="20.100000000000001" customHeight="1" thickBot="1" x14ac:dyDescent="0.3">
      <c r="A35" s="114"/>
      <c r="B35" s="114"/>
      <c r="C35" s="185"/>
      <c r="D35" s="184"/>
      <c r="E35" s="184"/>
      <c r="F35" s="184"/>
      <c r="G35" s="184"/>
      <c r="H35" s="184"/>
      <c r="I35" s="273">
        <v>3</v>
      </c>
      <c r="J35" s="117" t="s">
        <v>171</v>
      </c>
      <c r="K35" s="118"/>
      <c r="L35" s="184"/>
      <c r="M35" s="184"/>
      <c r="N35" s="184"/>
      <c r="O35" s="184"/>
      <c r="P35" s="184"/>
      <c r="Q35" s="184"/>
      <c r="R35" s="133"/>
    </row>
    <row r="36" spans="1:18" ht="20.100000000000001" customHeight="1" thickTop="1" x14ac:dyDescent="0.25">
      <c r="A36" s="114"/>
      <c r="B36" s="114"/>
      <c r="C36" s="185"/>
      <c r="D36" s="184"/>
      <c r="E36" s="184"/>
      <c r="F36" s="184"/>
      <c r="G36" s="184"/>
      <c r="H36" s="186"/>
      <c r="I36" s="274"/>
      <c r="J36" s="120" t="str">
        <f>IF(ISBLANK(J35),"",IFERROR(_xlfn.XLOOKUP(J35,'List of Teams'!$B$2:$B$65,'List of Teams'!$C$2:$C$65),""))</f>
        <v>team 35</v>
      </c>
      <c r="K36" s="121"/>
      <c r="L36" s="184"/>
      <c r="M36" s="184"/>
      <c r="N36" s="184"/>
      <c r="O36" s="184"/>
      <c r="P36" s="184"/>
      <c r="Q36" s="184"/>
      <c r="R36" s="133"/>
    </row>
    <row r="37" spans="1:18" ht="20.100000000000001" customHeight="1" thickBot="1" x14ac:dyDescent="0.3">
      <c r="A37" s="114"/>
      <c r="B37" s="114"/>
      <c r="C37" s="185"/>
      <c r="D37" s="184"/>
      <c r="E37" s="184"/>
      <c r="F37" s="184"/>
      <c r="G37" s="127"/>
      <c r="H37" s="123" t="str">
        <f>IF(J40="Bye",J40,IF(OR(ISBLANK(J35),ISBLANK(J40)),"",IF(OR(ISBLANK(K35),ISBLANK(K40)),"",IF(K35&lt;K40,J35,J40))))</f>
        <v/>
      </c>
      <c r="I37" s="275"/>
      <c r="J37" s="124" t="s">
        <v>44</v>
      </c>
      <c r="K37" s="125"/>
      <c r="L37" s="126" t="str">
        <f>IF(J40="Bye",J35,IF(OR(ISBLANK(J35),ISBLANK(J40)),"",IF(OR(ISBLANK(K35),ISBLANK(K40)),"",IF(K35&gt;K40,J35,J40))))</f>
        <v/>
      </c>
      <c r="M37" s="127"/>
      <c r="N37" s="184"/>
      <c r="O37" s="184"/>
      <c r="P37" s="184"/>
      <c r="Q37" s="184"/>
      <c r="R37" s="133"/>
    </row>
    <row r="38" spans="1:18" ht="20.100000000000001" customHeight="1" thickTop="1" x14ac:dyDescent="0.35">
      <c r="A38" s="114"/>
      <c r="B38" s="114"/>
      <c r="C38" s="185"/>
      <c r="D38" s="184"/>
      <c r="E38" s="184"/>
      <c r="F38" s="184"/>
      <c r="G38" s="128"/>
      <c r="H38" s="129" t="str">
        <f>IF(H37="","",IF(K35&lt;K40,K35&amp;"-"&amp;K40,K40&amp;"-"&amp;K35))</f>
        <v/>
      </c>
      <c r="I38" s="277"/>
      <c r="J38" s="130" t="s">
        <v>32</v>
      </c>
      <c r="K38" s="125"/>
      <c r="L38" s="131" t="str">
        <f>IF(L37="","",IF(K35&gt;K40,K35&amp;"-"&amp;K40,K40&amp;"-"&amp;K35))</f>
        <v/>
      </c>
      <c r="M38" s="132"/>
      <c r="N38" s="185"/>
      <c r="O38" s="184"/>
      <c r="P38" s="184"/>
      <c r="Q38" s="184"/>
      <c r="R38" s="133"/>
    </row>
    <row r="39" spans="1:18" ht="20.100000000000001" customHeight="1" thickBot="1" x14ac:dyDescent="0.3">
      <c r="A39" s="114"/>
      <c r="B39" s="114"/>
      <c r="C39" s="185"/>
      <c r="D39" s="184"/>
      <c r="E39" s="184"/>
      <c r="F39" s="184"/>
      <c r="G39" s="134"/>
      <c r="H39" s="135"/>
      <c r="I39" s="276"/>
      <c r="J39" s="136" t="str">
        <f>IF(ISBLANK(J40),"",IFERROR(_xlfn.XLOOKUP(J40,'List of Teams'!$B$2:$B$65,'List of Teams'!$C$2:$C$65),""))</f>
        <v>team 10</v>
      </c>
      <c r="K39" s="137"/>
      <c r="L39" s="132"/>
      <c r="M39" s="132"/>
      <c r="N39" s="185"/>
      <c r="O39" s="184"/>
      <c r="P39" s="184"/>
      <c r="Q39" s="184"/>
      <c r="R39" s="133"/>
    </row>
    <row r="40" spans="1:18" ht="20.100000000000001" customHeight="1" thickTop="1" x14ac:dyDescent="0.25">
      <c r="A40" s="114"/>
      <c r="B40" s="114"/>
      <c r="C40" s="185"/>
      <c r="D40" s="184"/>
      <c r="E40" s="184"/>
      <c r="F40" s="184"/>
      <c r="G40" s="134"/>
      <c r="H40" s="132"/>
      <c r="I40" s="273">
        <v>14</v>
      </c>
      <c r="J40" s="117" t="s">
        <v>146</v>
      </c>
      <c r="K40" s="138"/>
      <c r="L40" s="132"/>
      <c r="M40" s="132"/>
      <c r="N40" s="185"/>
      <c r="O40" s="184"/>
      <c r="P40" s="184"/>
      <c r="Q40" s="184"/>
      <c r="R40" s="133"/>
    </row>
    <row r="41" spans="1:18" ht="20.100000000000001" customHeight="1" thickBot="1" x14ac:dyDescent="0.3">
      <c r="A41" s="114"/>
      <c r="B41" s="114"/>
      <c r="C41" s="185"/>
      <c r="D41" s="184"/>
      <c r="E41" s="144"/>
      <c r="F41" s="140" t="str">
        <f>IF(H46="Bye",H37,IF(OR(ISBLANK(H37),ISBLANK(H46)),"",IF(OR(ISBLANK(G37),ISBLANK(G46)),"",IF(G37&gt;G46,H37,H46))))</f>
        <v/>
      </c>
      <c r="G41" s="134"/>
      <c r="H41" s="141" t="s">
        <v>51</v>
      </c>
      <c r="I41" s="142"/>
      <c r="J41" s="132"/>
      <c r="K41" s="132"/>
      <c r="L41" s="141" t="s">
        <v>38</v>
      </c>
      <c r="M41" s="132"/>
      <c r="N41" s="143" t="str">
        <f>IF(L46="Bye",L37,IF(OR(ISBLANK(L37),ISBLANK(L46)),"",IF(OR(ISBLANK(M37),ISBLANK(M46)),"",IF(M37&gt;M46,L37,L46))))</f>
        <v/>
      </c>
      <c r="O41" s="144"/>
      <c r="P41" s="184"/>
      <c r="Q41" s="184"/>
      <c r="R41" s="133"/>
    </row>
    <row r="42" spans="1:18" ht="20.100000000000001" customHeight="1" thickTop="1" x14ac:dyDescent="0.35">
      <c r="A42" s="114"/>
      <c r="B42" s="114"/>
      <c r="C42" s="185"/>
      <c r="D42" s="184"/>
      <c r="E42" s="145"/>
      <c r="F42" s="146" t="str">
        <f>IF(F41="","",IF(G37&gt;G46,G37&amp;"-"&amp;G46,G46&amp;"-"&amp;G37))</f>
        <v/>
      </c>
      <c r="G42" s="134"/>
      <c r="H42" s="147" t="s">
        <v>32</v>
      </c>
      <c r="I42" s="142"/>
      <c r="J42" s="132"/>
      <c r="K42" s="132"/>
      <c r="L42" s="147" t="s">
        <v>32</v>
      </c>
      <c r="M42" s="132"/>
      <c r="N42" s="148" t="str">
        <f>IF(N41="","",IF(M37&gt;M46,M37&amp;"-"&amp;M46,M46&amp;"-"&amp;M37))</f>
        <v/>
      </c>
      <c r="O42" s="149"/>
      <c r="P42" s="185"/>
      <c r="Q42" s="184"/>
      <c r="R42" s="133"/>
    </row>
    <row r="43" spans="1:18" ht="20.100000000000001" customHeight="1" thickBot="1" x14ac:dyDescent="0.3">
      <c r="A43" s="114"/>
      <c r="B43" s="114"/>
      <c r="C43" s="185"/>
      <c r="D43" s="184"/>
      <c r="E43" s="150"/>
      <c r="F43" s="149"/>
      <c r="G43" s="134"/>
      <c r="H43" s="132"/>
      <c r="I43" s="273">
        <v>6</v>
      </c>
      <c r="J43" s="117" t="s">
        <v>138</v>
      </c>
      <c r="K43" s="118"/>
      <c r="L43" s="132"/>
      <c r="M43" s="132"/>
      <c r="N43" s="150"/>
      <c r="O43" s="149"/>
      <c r="P43" s="185"/>
      <c r="Q43" s="184"/>
      <c r="R43" s="133"/>
    </row>
    <row r="44" spans="1:18" ht="20.100000000000001" customHeight="1" thickTop="1" x14ac:dyDescent="0.25">
      <c r="A44" s="114"/>
      <c r="B44" s="114"/>
      <c r="C44" s="185"/>
      <c r="D44" s="184"/>
      <c r="E44" s="150"/>
      <c r="F44" s="149"/>
      <c r="G44" s="134"/>
      <c r="H44" s="135"/>
      <c r="I44" s="274"/>
      <c r="J44" s="120" t="str">
        <f>IF(ISBLANK(J43),"",IFERROR(_xlfn.XLOOKUP(J43,'List of Teams'!$B$2:$B$65,'List of Teams'!$C$2:$C$65),""))</f>
        <v>team 2</v>
      </c>
      <c r="K44" s="121"/>
      <c r="L44" s="132"/>
      <c r="M44" s="132"/>
      <c r="N44" s="150"/>
      <c r="O44" s="149"/>
      <c r="P44" s="185"/>
      <c r="Q44" s="184"/>
      <c r="R44" s="133"/>
    </row>
    <row r="45" spans="1:18" ht="20.100000000000001" customHeight="1" thickBot="1" x14ac:dyDescent="0.3">
      <c r="A45" s="114"/>
      <c r="B45" s="114"/>
      <c r="C45" s="185"/>
      <c r="D45" s="184"/>
      <c r="E45" s="150"/>
      <c r="F45" s="149"/>
      <c r="G45" s="151"/>
      <c r="H45" s="152" t="str">
        <f>IF(H46="","",IF(K43&lt;K48,K43&amp;"-"&amp;K48,K48&amp;"-"&amp;K43))</f>
        <v/>
      </c>
      <c r="I45" s="273"/>
      <c r="J45" s="124" t="s">
        <v>45</v>
      </c>
      <c r="K45" s="125"/>
      <c r="L45" s="131" t="str">
        <f>IF(L46="","",IF(K43&gt;K48,K43&amp;"-"&amp;K48,K48&amp;"-"&amp;K43))</f>
        <v/>
      </c>
      <c r="M45" s="153"/>
      <c r="N45" s="150"/>
      <c r="O45" s="149"/>
      <c r="P45" s="185"/>
      <c r="Q45" s="184"/>
      <c r="R45" s="133"/>
    </row>
    <row r="46" spans="1:18" ht="20.100000000000001" customHeight="1" thickTop="1" x14ac:dyDescent="0.35">
      <c r="A46" s="114"/>
      <c r="B46" s="114"/>
      <c r="C46" s="185"/>
      <c r="D46" s="184"/>
      <c r="E46" s="150"/>
      <c r="F46" s="149"/>
      <c r="G46" s="154"/>
      <c r="H46" s="155" t="str">
        <f>IF(J48="Bye",J48,IF(OR(ISBLANK(J43),ISBLANK(J48)),"",IF(OR(ISBLANK(K43),ISBLANK(K48)),"",IF(K43&lt;K48,J43,J48))))</f>
        <v/>
      </c>
      <c r="I46" s="275"/>
      <c r="J46" s="130" t="s">
        <v>32</v>
      </c>
      <c r="K46" s="125"/>
      <c r="L46" s="156" t="str">
        <f>IF(J48="Bye",J43,IF(OR(ISBLANK(J43),ISBLANK(J48)),"",IF(OR(ISBLANK(K43),ISBLANK(K48)),"",IF(K43&gt;K48,J43,J48))))</f>
        <v/>
      </c>
      <c r="M46" s="154"/>
      <c r="N46" s="149"/>
      <c r="O46" s="149"/>
      <c r="P46" s="185"/>
      <c r="Q46" s="184"/>
      <c r="R46" s="133"/>
    </row>
    <row r="47" spans="1:18" ht="20.100000000000001" customHeight="1" thickBot="1" x14ac:dyDescent="0.3">
      <c r="A47" s="114"/>
      <c r="B47" s="114"/>
      <c r="C47" s="185"/>
      <c r="D47" s="184"/>
      <c r="E47" s="150"/>
      <c r="F47" s="149"/>
      <c r="G47" s="149"/>
      <c r="H47" s="157"/>
      <c r="I47" s="276"/>
      <c r="J47" s="136" t="str">
        <f>IF(ISBLANK(J48),"",IFERROR(_xlfn.XLOOKUP(J48,'List of Teams'!$B$2:$B$65,'List of Teams'!$C$2:$C$65),""))</f>
        <v>team 9</v>
      </c>
      <c r="K47" s="137"/>
      <c r="L47" s="149"/>
      <c r="M47" s="149"/>
      <c r="N47" s="149"/>
      <c r="O47" s="149"/>
      <c r="P47" s="185"/>
      <c r="Q47" s="184"/>
      <c r="R47" s="133"/>
    </row>
    <row r="48" spans="1:18" ht="20.100000000000001" customHeight="1" thickTop="1" x14ac:dyDescent="0.25">
      <c r="A48" s="114"/>
      <c r="B48" s="114"/>
      <c r="C48" s="185"/>
      <c r="D48" s="184"/>
      <c r="E48" s="150"/>
      <c r="F48" s="149"/>
      <c r="G48" s="149"/>
      <c r="H48" s="149"/>
      <c r="I48" s="273">
        <v>11</v>
      </c>
      <c r="J48" s="117" t="s">
        <v>145</v>
      </c>
      <c r="K48" s="138"/>
      <c r="L48" s="149"/>
      <c r="M48" s="149"/>
      <c r="N48" s="149"/>
      <c r="O48" s="149"/>
      <c r="P48" s="185"/>
      <c r="Q48" s="184"/>
      <c r="R48" s="133"/>
    </row>
    <row r="49" spans="1:18" ht="20.100000000000001" customHeight="1" thickBot="1" x14ac:dyDescent="0.3">
      <c r="A49" s="114"/>
      <c r="B49" s="114"/>
      <c r="C49" s="189"/>
      <c r="D49" s="190" t="str">
        <f>IF(D50="","",IF(E41&gt;E58,E41&amp;"-"&amp;E58,E58&amp;"-"&amp;E41))</f>
        <v/>
      </c>
      <c r="E49" s="150"/>
      <c r="F49" s="159" t="s">
        <v>54</v>
      </c>
      <c r="G49" s="149"/>
      <c r="H49" s="149"/>
      <c r="I49" s="149"/>
      <c r="J49" s="149"/>
      <c r="K49" s="149"/>
      <c r="L49" s="149"/>
      <c r="M49" s="149"/>
      <c r="N49" s="159" t="s">
        <v>35</v>
      </c>
      <c r="O49" s="149"/>
      <c r="P49" s="191" t="str">
        <f>IF(P50="","",IF(O41&gt;O58,O41&amp;"-"&amp;O58,O58&amp;"-"&amp;O41))</f>
        <v/>
      </c>
      <c r="Q49" s="192"/>
      <c r="R49" s="133"/>
    </row>
    <row r="50" spans="1:18" ht="20.100000000000001" customHeight="1" thickTop="1" x14ac:dyDescent="0.35">
      <c r="A50" s="114"/>
      <c r="B50" s="114"/>
      <c r="C50" s="193"/>
      <c r="D50" s="194" t="str">
        <f>IF(F58="Bye",F41,IF(OR(ISBLANK(F41),ISBLANK(F58)),"",IF(OR(ISBLANK(E41),ISBLANK(E58)),"",IF(E41&gt;E58,F41,F58))))</f>
        <v/>
      </c>
      <c r="E50" s="150"/>
      <c r="F50" s="161" t="s">
        <v>32</v>
      </c>
      <c r="G50" s="149"/>
      <c r="H50" s="149"/>
      <c r="I50" s="149"/>
      <c r="J50" s="149"/>
      <c r="K50" s="149"/>
      <c r="L50" s="149"/>
      <c r="M50" s="149"/>
      <c r="N50" s="161" t="s">
        <v>32</v>
      </c>
      <c r="O50" s="149"/>
      <c r="P50" s="195" t="str">
        <f>IF(N58="Bye",N41,IF(OR(ISBLANK(N41),ISBLANK(N58)),"",IF(OR(ISBLANK(O41),ISBLANK(O58)),"",IF(O41&gt;O58,N41,N58))))</f>
        <v/>
      </c>
      <c r="Q50" s="193"/>
      <c r="R50" s="114"/>
    </row>
    <row r="51" spans="1:18" ht="20.100000000000001" customHeight="1" thickBot="1" x14ac:dyDescent="0.3">
      <c r="A51" s="114"/>
      <c r="B51" s="114"/>
      <c r="C51" s="114"/>
      <c r="D51" s="114"/>
      <c r="E51" s="150"/>
      <c r="F51" s="149"/>
      <c r="G51" s="149"/>
      <c r="H51" s="149"/>
      <c r="I51" s="273">
        <v>7</v>
      </c>
      <c r="J51" s="117" t="s">
        <v>144</v>
      </c>
      <c r="K51" s="118"/>
      <c r="L51" s="149"/>
      <c r="M51" s="149"/>
      <c r="N51" s="149"/>
      <c r="O51" s="149"/>
      <c r="P51" s="133"/>
      <c r="Q51" s="114"/>
      <c r="R51" s="114"/>
    </row>
    <row r="52" spans="1:18" ht="20.100000000000001" customHeight="1" thickTop="1" x14ac:dyDescent="0.25">
      <c r="A52" s="114"/>
      <c r="B52" s="114"/>
      <c r="C52" s="114"/>
      <c r="D52" s="114"/>
      <c r="E52" s="150"/>
      <c r="F52" s="149"/>
      <c r="G52" s="149"/>
      <c r="H52" s="157"/>
      <c r="I52" s="274"/>
      <c r="J52" s="120" t="str">
        <f>IF(ISBLANK(J51),"",IFERROR(_xlfn.XLOOKUP(J51,'List of Teams'!$B$2:$B$65,'List of Teams'!$C$2:$C$65),""))</f>
        <v>team 8</v>
      </c>
      <c r="K52" s="121"/>
      <c r="L52" s="149"/>
      <c r="M52" s="149"/>
      <c r="N52" s="149"/>
      <c r="O52" s="149"/>
      <c r="P52" s="133"/>
      <c r="Q52" s="114"/>
      <c r="R52" s="114"/>
    </row>
    <row r="53" spans="1:18" ht="20.100000000000001" customHeight="1" thickBot="1" x14ac:dyDescent="0.3">
      <c r="A53" s="114"/>
      <c r="B53" s="114"/>
      <c r="C53" s="114"/>
      <c r="D53" s="114"/>
      <c r="E53" s="150"/>
      <c r="F53" s="149"/>
      <c r="G53" s="127"/>
      <c r="H53" s="123" t="str">
        <f>IF(J56="Bye",J56,IF(OR(ISBLANK(J51),ISBLANK(J56)),"",IF(OR(ISBLANK(K51),ISBLANK(K56)),"",IF(K51&lt;K56,J51,J56))))</f>
        <v/>
      </c>
      <c r="I53" s="275"/>
      <c r="J53" s="124" t="s">
        <v>46</v>
      </c>
      <c r="K53" s="125"/>
      <c r="L53" s="126" t="str">
        <f>IF(J56="Bye",J51,IF(OR(ISBLANK(J51),ISBLANK(J56)),"",IF(OR(ISBLANK(K51),ISBLANK(K56)),"",IF(K51&gt;K56,J51,J56))))</f>
        <v/>
      </c>
      <c r="M53" s="127"/>
      <c r="N53" s="149"/>
      <c r="O53" s="149"/>
      <c r="P53" s="133"/>
      <c r="Q53" s="114"/>
      <c r="R53" s="114"/>
    </row>
    <row r="54" spans="1:18" ht="20.100000000000001" customHeight="1" thickTop="1" x14ac:dyDescent="0.35">
      <c r="A54" s="114"/>
      <c r="B54" s="114"/>
      <c r="C54" s="114"/>
      <c r="D54" s="114"/>
      <c r="E54" s="150"/>
      <c r="F54" s="149"/>
      <c r="G54" s="128"/>
      <c r="H54" s="129" t="str">
        <f>IF(H53="","",IF(K51&lt;K56,K51&amp;"-"&amp;K56,K56&amp;"-"&amp;K51))</f>
        <v/>
      </c>
      <c r="I54" s="273"/>
      <c r="J54" s="130" t="s">
        <v>32</v>
      </c>
      <c r="K54" s="125"/>
      <c r="L54" s="131" t="str">
        <f>IF(L53="","",IF(K51&gt;K56,K51&amp;"-"&amp;K56,K56&amp;"-"&amp;K51))</f>
        <v/>
      </c>
      <c r="M54" s="132"/>
      <c r="N54" s="150"/>
      <c r="O54" s="149"/>
      <c r="P54" s="133"/>
      <c r="Q54" s="114"/>
      <c r="R54" s="114"/>
    </row>
    <row r="55" spans="1:18" ht="20.100000000000001" customHeight="1" thickBot="1" x14ac:dyDescent="0.3">
      <c r="A55" s="114"/>
      <c r="B55" s="114"/>
      <c r="C55" s="114"/>
      <c r="D55" s="114"/>
      <c r="E55" s="150"/>
      <c r="F55" s="149"/>
      <c r="G55" s="134"/>
      <c r="H55" s="135"/>
      <c r="I55" s="276"/>
      <c r="J55" s="136" t="str">
        <f>IF(ISBLANK(J56),"",IFERROR(_xlfn.XLOOKUP(J56,'List of Teams'!$B$2:$B$65,'List of Teams'!$C$2:$C$65),""))</f>
        <v>team 26</v>
      </c>
      <c r="K55" s="137"/>
      <c r="L55" s="132"/>
      <c r="M55" s="132"/>
      <c r="N55" s="150"/>
      <c r="O55" s="149"/>
      <c r="P55" s="133"/>
      <c r="Q55" s="114"/>
      <c r="R55" s="114"/>
    </row>
    <row r="56" spans="1:18" ht="20.100000000000001" customHeight="1" thickTop="1" x14ac:dyDescent="0.25">
      <c r="A56" s="114"/>
      <c r="B56" s="114"/>
      <c r="C56" s="114"/>
      <c r="D56" s="114"/>
      <c r="E56" s="150"/>
      <c r="F56" s="149"/>
      <c r="G56" s="134"/>
      <c r="H56" s="132"/>
      <c r="I56" s="273">
        <v>10</v>
      </c>
      <c r="J56" s="117" t="s">
        <v>162</v>
      </c>
      <c r="K56" s="138"/>
      <c r="L56" s="132"/>
      <c r="M56" s="132"/>
      <c r="N56" s="150"/>
      <c r="O56" s="149"/>
      <c r="P56" s="133"/>
      <c r="Q56" s="114"/>
      <c r="R56" s="114"/>
    </row>
    <row r="57" spans="1:18" ht="20.100000000000001" customHeight="1" thickBot="1" x14ac:dyDescent="0.3">
      <c r="A57" s="114"/>
      <c r="B57" s="114"/>
      <c r="C57" s="114"/>
      <c r="D57" s="114"/>
      <c r="E57" s="163"/>
      <c r="F57" s="164" t="str">
        <f>IF(F58="","",IF(G53&gt;G62,G53&amp;"-"&amp;G62,G62&amp;"-"&amp;G53))</f>
        <v/>
      </c>
      <c r="G57" s="134"/>
      <c r="H57" s="141" t="s">
        <v>50</v>
      </c>
      <c r="I57" s="142"/>
      <c r="J57" s="132"/>
      <c r="K57" s="132"/>
      <c r="L57" s="141" t="s">
        <v>39</v>
      </c>
      <c r="M57" s="132"/>
      <c r="N57" s="165" t="str">
        <f>IF(N58="","",IF(M53&gt;M62,M53&amp;"-"&amp;M62,M62&amp;"-"&amp;M53))</f>
        <v/>
      </c>
      <c r="O57" s="166"/>
      <c r="P57" s="133"/>
      <c r="Q57" s="114"/>
      <c r="R57" s="114"/>
    </row>
    <row r="58" spans="1:18" ht="20.100000000000001" customHeight="1" thickTop="1" x14ac:dyDescent="0.35">
      <c r="A58" s="114"/>
      <c r="B58" s="114"/>
      <c r="C58" s="114"/>
      <c r="D58" s="114"/>
      <c r="E58" s="167"/>
      <c r="F58" s="168" t="str">
        <f>IF(H62="Bye",H53,IF(OR(ISBLANK(H53),ISBLANK(H62)),"",IF(OR(ISBLANK(G53),ISBLANK(G62)),"",IF(G53&gt;G62,H53,H62))))</f>
        <v/>
      </c>
      <c r="G58" s="134"/>
      <c r="H58" s="147" t="s">
        <v>32</v>
      </c>
      <c r="I58" s="142"/>
      <c r="J58" s="132"/>
      <c r="K58" s="132"/>
      <c r="L58" s="147" t="s">
        <v>32</v>
      </c>
      <c r="M58" s="132"/>
      <c r="N58" s="169" t="str">
        <f>IF(L62="Bye",L53,IF(OR(ISBLANK(L53),ISBLANK(L62)),"",IF(OR(ISBLANK(M53),ISBLANK(M62)),"",IF(M53&gt;M62,L53,L62))))</f>
        <v/>
      </c>
      <c r="O58" s="167"/>
      <c r="P58" s="114"/>
      <c r="Q58" s="114"/>
      <c r="R58" s="114"/>
    </row>
    <row r="59" spans="1:18" ht="20.100000000000001" customHeight="1" thickBot="1" x14ac:dyDescent="0.3">
      <c r="A59" s="114"/>
      <c r="B59" s="114"/>
      <c r="C59" s="114"/>
      <c r="D59" s="114"/>
      <c r="E59" s="114"/>
      <c r="F59" s="114"/>
      <c r="G59" s="134"/>
      <c r="H59" s="132"/>
      <c r="I59" s="273">
        <v>2</v>
      </c>
      <c r="J59" s="117" t="s">
        <v>140</v>
      </c>
      <c r="K59" s="118"/>
      <c r="L59" s="132"/>
      <c r="M59" s="132"/>
      <c r="N59" s="133"/>
      <c r="O59" s="114"/>
      <c r="P59" s="114"/>
      <c r="Q59" s="114"/>
      <c r="R59" s="114"/>
    </row>
    <row r="60" spans="1:18" ht="20.100000000000001" customHeight="1" thickTop="1" thickBot="1" x14ac:dyDescent="0.3">
      <c r="A60" s="114"/>
      <c r="B60" s="114"/>
      <c r="C60" s="114"/>
      <c r="D60" s="114"/>
      <c r="E60" s="114"/>
      <c r="F60" s="114"/>
      <c r="G60" s="134"/>
      <c r="H60" s="135"/>
      <c r="I60" s="274"/>
      <c r="J60" s="120" t="str">
        <f>IF(ISBLANK(J59),"",IFERROR(_xlfn.XLOOKUP(J59,'List of Teams'!$B$2:$B$65,'List of Teams'!$C$2:$C$65),""))</f>
        <v>team 4</v>
      </c>
      <c r="K60" s="121"/>
      <c r="L60" s="132"/>
      <c r="M60" s="132"/>
      <c r="N60" s="133"/>
      <c r="O60" s="114"/>
      <c r="P60" s="196" t="str">
        <f>IF(N26="Bye",N26,IF(OR(ISBLANK(N9),ISBLANK(N26)),"",IF(OR(ISBLANK(O9),ISBLANK(O26)),"",IF(O9&lt;O26,N9,N26))))</f>
        <v/>
      </c>
      <c r="Q60" s="178"/>
      <c r="R60" s="114"/>
    </row>
    <row r="61" spans="1:18" ht="20.100000000000001" customHeight="1" thickTop="1" thickBot="1" x14ac:dyDescent="0.3">
      <c r="A61" s="114"/>
      <c r="B61" s="114"/>
      <c r="C61" s="114"/>
      <c r="D61" s="114"/>
      <c r="E61" s="114"/>
      <c r="F61" s="114"/>
      <c r="G61" s="151"/>
      <c r="H61" s="152" t="str">
        <f>IF(H62="","",IF(K59&lt;K64,K59&amp;"-"&amp;K64,K64&amp;"-"&amp;K59))</f>
        <v/>
      </c>
      <c r="I61" s="273"/>
      <c r="J61" s="124" t="s">
        <v>47</v>
      </c>
      <c r="K61" s="125"/>
      <c r="L61" s="131" t="str">
        <f>IF(L62="","",IF(K59&gt;K64,K59&amp;"-"&amp;K64,K64&amp;"-"&amp;K59))</f>
        <v/>
      </c>
      <c r="M61" s="153"/>
      <c r="N61" s="133"/>
      <c r="O61" s="114"/>
      <c r="P61" s="197"/>
      <c r="Q61" s="198"/>
      <c r="R61" s="114"/>
    </row>
    <row r="62" spans="1:18" ht="20.100000000000001" customHeight="1" thickTop="1" thickBot="1" x14ac:dyDescent="0.4">
      <c r="A62" s="114"/>
      <c r="B62" s="114"/>
      <c r="C62" s="114"/>
      <c r="D62" s="114"/>
      <c r="E62" s="114"/>
      <c r="F62" s="114"/>
      <c r="G62" s="154"/>
      <c r="H62" s="155" t="str">
        <f>IF(J64="Bye",J64,IF(OR(ISBLANK(J59),ISBLANK(J64)),"",IF(OR(ISBLANK(K59),ISBLANK(K64)),"",IF(K59&lt;K64,J59,J64))))</f>
        <v/>
      </c>
      <c r="I62" s="275"/>
      <c r="J62" s="130" t="s">
        <v>32</v>
      </c>
      <c r="K62" s="125"/>
      <c r="L62" s="156" t="str">
        <f>IF(J64="Bye",J59,IF(OR(ISBLANK(J59),ISBLANK(J64)),"",IF(OR(ISBLANK(K59),ISBLANK(K64)),"",IF(K59&gt;K64,J59,J64))))</f>
        <v/>
      </c>
      <c r="M62" s="154"/>
      <c r="N62" s="114"/>
      <c r="O62" s="114"/>
      <c r="P62" s="187" t="s">
        <v>48</v>
      </c>
      <c r="Q62" s="186"/>
      <c r="R62" s="189"/>
    </row>
    <row r="63" spans="1:18" ht="20.100000000000001" customHeight="1" thickTop="1" thickBot="1" x14ac:dyDescent="0.4">
      <c r="A63" s="114"/>
      <c r="B63" s="114"/>
      <c r="C63" s="114"/>
      <c r="D63" s="114"/>
      <c r="E63" s="114"/>
      <c r="F63" s="114"/>
      <c r="G63" s="114"/>
      <c r="H63" s="119"/>
      <c r="I63" s="276"/>
      <c r="J63" s="136" t="str">
        <f>IF(ISBLANK(J64),"",IFERROR(_xlfn.XLOOKUP(J64,'List of Teams'!$B$2:$B$65,'List of Teams'!$C$2:$C$65),""))</f>
        <v>team 14</v>
      </c>
      <c r="K63" s="137"/>
      <c r="L63" s="114"/>
      <c r="M63" s="114"/>
      <c r="N63" s="114"/>
      <c r="O63" s="114"/>
      <c r="P63" s="188" t="s">
        <v>32</v>
      </c>
      <c r="Q63" s="186"/>
      <c r="R63" s="114"/>
    </row>
    <row r="64" spans="1:18" ht="20.100000000000001" customHeight="1" thickTop="1" thickBot="1" x14ac:dyDescent="0.3">
      <c r="A64" s="114"/>
      <c r="B64" s="114"/>
      <c r="C64" s="114"/>
      <c r="D64" s="114"/>
      <c r="E64" s="114"/>
      <c r="F64" s="114"/>
      <c r="G64" s="114"/>
      <c r="H64" s="114"/>
      <c r="I64" s="273">
        <v>15</v>
      </c>
      <c r="J64" s="117" t="s">
        <v>150</v>
      </c>
      <c r="K64" s="138"/>
      <c r="L64" s="114"/>
      <c r="M64" s="114"/>
      <c r="N64" s="114"/>
      <c r="O64" s="114"/>
      <c r="P64" s="199"/>
      <c r="Q64" s="200"/>
      <c r="R64" s="114"/>
    </row>
    <row r="65" spans="1:18" ht="20.100000000000001" customHeight="1" thickTop="1" x14ac:dyDescent="0.25">
      <c r="A65" s="114"/>
      <c r="B65" s="114"/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201" t="str">
        <f>IF(N58="Bye",N58,IF(OR(ISBLANK(N41),ISBLANK(N58)),"",IF(OR(ISBLANK(O41),ISBLANK(O58)),"",IF(O41&lt;O58,N41,N58))))</f>
        <v/>
      </c>
      <c r="Q65" s="193"/>
      <c r="R65" s="114"/>
    </row>
    <row r="66" spans="1:18" ht="20.100000000000001" customHeight="1" x14ac:dyDescent="0.25"/>
    <row r="67" spans="1:18" ht="20.100000000000001" customHeight="1" x14ac:dyDescent="0.25"/>
    <row r="68" spans="1:18" ht="20.100000000000001" customHeight="1" x14ac:dyDescent="0.25"/>
    <row r="69" spans="1:18" ht="20.100000000000001" customHeight="1" x14ac:dyDescent="0.25"/>
    <row r="70" spans="1:18" ht="20.100000000000001" customHeight="1" x14ac:dyDescent="0.25"/>
    <row r="71" spans="1:18" ht="20.100000000000001" customHeight="1" x14ac:dyDescent="0.25"/>
    <row r="72" spans="1:18" ht="20.100000000000001" customHeight="1" x14ac:dyDescent="0.25"/>
    <row r="73" spans="1:18" ht="20.100000000000001" customHeight="1" x14ac:dyDescent="0.25"/>
    <row r="74" spans="1:18" ht="20.100000000000001" customHeight="1" x14ac:dyDescent="0.25"/>
    <row r="75" spans="1:18" ht="20.100000000000001" customHeight="1" x14ac:dyDescent="0.25"/>
    <row r="76" spans="1:18" ht="20.100000000000001" customHeight="1" x14ac:dyDescent="0.25"/>
    <row r="77" spans="1:18" ht="20.100000000000001" customHeight="1" x14ac:dyDescent="0.25"/>
    <row r="78" spans="1:18" ht="20.100000000000001" customHeight="1" x14ac:dyDescent="0.25"/>
    <row r="79" spans="1:18" ht="20.100000000000001" customHeight="1" x14ac:dyDescent="0.25"/>
    <row r="80" spans="1:18" ht="20.100000000000001" customHeight="1" x14ac:dyDescent="0.25"/>
    <row r="81" s="45" customFormat="1" ht="20.100000000000001" customHeight="1" x14ac:dyDescent="0.25"/>
    <row r="82" s="45" customFormat="1" ht="20.100000000000001" customHeight="1" x14ac:dyDescent="0.25"/>
    <row r="83" s="45" customFormat="1" ht="20.100000000000001" customHeight="1" x14ac:dyDescent="0.25"/>
    <row r="84" s="45" customFormat="1" ht="20.100000000000001" customHeight="1" x14ac:dyDescent="0.25"/>
    <row r="85" s="45" customFormat="1" ht="20.100000000000001" customHeight="1" x14ac:dyDescent="0.25"/>
    <row r="86" s="45" customFormat="1" ht="20.100000000000001" customHeight="1" x14ac:dyDescent="0.25"/>
    <row r="87" s="45" customFormat="1" ht="20.100000000000001" customHeight="1" x14ac:dyDescent="0.25"/>
    <row r="88" s="45" customFormat="1" ht="20.100000000000001" customHeight="1" x14ac:dyDescent="0.25"/>
    <row r="89" s="45" customFormat="1" ht="20.100000000000001" customHeight="1" x14ac:dyDescent="0.25"/>
    <row r="90" s="45" customFormat="1" ht="20.100000000000001" customHeight="1" x14ac:dyDescent="0.25"/>
    <row r="91" s="45" customFormat="1" ht="20.100000000000001" customHeight="1" x14ac:dyDescent="0.25"/>
    <row r="92" s="45" customFormat="1" ht="20.100000000000001" customHeight="1" x14ac:dyDescent="0.25"/>
    <row r="93" s="45" customFormat="1" ht="20.100000000000001" customHeight="1" x14ac:dyDescent="0.25"/>
    <row r="94" s="45" customFormat="1" ht="20.100000000000001" customHeight="1" x14ac:dyDescent="0.25"/>
    <row r="95" s="45" customFormat="1" ht="20.100000000000001" customHeight="1" x14ac:dyDescent="0.25"/>
    <row r="96" s="45" customFormat="1" ht="20.100000000000001" customHeight="1" x14ac:dyDescent="0.25"/>
    <row r="97" s="45" customFormat="1" ht="20.100000000000001" customHeight="1" x14ac:dyDescent="0.25"/>
    <row r="98" s="45" customFormat="1" ht="20.100000000000001" customHeight="1" x14ac:dyDescent="0.25"/>
    <row r="99" s="45" customFormat="1" ht="20.100000000000001" customHeight="1" x14ac:dyDescent="0.25"/>
    <row r="100" s="45" customFormat="1" ht="20.100000000000001" customHeight="1" x14ac:dyDescent="0.25"/>
    <row r="101" s="45" customFormat="1" ht="20.100000000000001" customHeight="1" x14ac:dyDescent="0.25"/>
    <row r="102" s="45" customFormat="1" ht="20.100000000000001" customHeight="1" x14ac:dyDescent="0.25"/>
    <row r="103" s="45" customFormat="1" ht="20.100000000000001" customHeight="1" x14ac:dyDescent="0.25"/>
    <row r="104" s="45" customFormat="1" ht="20.100000000000001" customHeight="1" x14ac:dyDescent="0.25"/>
    <row r="105" s="45" customFormat="1" ht="20.100000000000001" customHeight="1" x14ac:dyDescent="0.25"/>
    <row r="106" s="45" customFormat="1" ht="20.100000000000001" customHeight="1" x14ac:dyDescent="0.25"/>
    <row r="107" s="45" customFormat="1" ht="20.100000000000001" customHeight="1" x14ac:dyDescent="0.25"/>
    <row r="108" s="45" customFormat="1" ht="20.100000000000001" customHeight="1" x14ac:dyDescent="0.25"/>
    <row r="109" s="45" customFormat="1" ht="20.100000000000001" customHeight="1" x14ac:dyDescent="0.25"/>
    <row r="110" s="45" customFormat="1" ht="20.100000000000001" customHeight="1" x14ac:dyDescent="0.25"/>
    <row r="111" s="45" customFormat="1" ht="20.100000000000001" customHeight="1" x14ac:dyDescent="0.25"/>
    <row r="112" s="45" customFormat="1" ht="20.100000000000001" customHeight="1" x14ac:dyDescent="0.25"/>
    <row r="113" s="45" customFormat="1" ht="20.100000000000001" customHeight="1" x14ac:dyDescent="0.25"/>
    <row r="114" s="45" customFormat="1" ht="20.100000000000001" customHeight="1" x14ac:dyDescent="0.25"/>
    <row r="115" s="45" customFormat="1" ht="20.100000000000001" customHeight="1" x14ac:dyDescent="0.25"/>
    <row r="116" s="45" customFormat="1" ht="20.100000000000001" customHeight="1" x14ac:dyDescent="0.25"/>
    <row r="117" s="45" customFormat="1" ht="20.100000000000001" customHeight="1" x14ac:dyDescent="0.25"/>
    <row r="118" s="45" customFormat="1" ht="20.100000000000001" customHeight="1" x14ac:dyDescent="0.25"/>
    <row r="119" s="45" customFormat="1" ht="20.100000000000001" customHeight="1" x14ac:dyDescent="0.25"/>
    <row r="120" s="45" customFormat="1" ht="20.100000000000001" customHeight="1" x14ac:dyDescent="0.25"/>
    <row r="121" s="45" customFormat="1" ht="20.100000000000001" customHeight="1" x14ac:dyDescent="0.25"/>
    <row r="122" s="45" customFormat="1" ht="20.100000000000001" customHeight="1" x14ac:dyDescent="0.25"/>
    <row r="123" s="45" customFormat="1" ht="20.100000000000001" customHeight="1" x14ac:dyDescent="0.25"/>
    <row r="124" s="45" customFormat="1" ht="20.100000000000001" customHeight="1" x14ac:dyDescent="0.25"/>
    <row r="125" s="45" customFormat="1" ht="20.100000000000001" customHeight="1" x14ac:dyDescent="0.25"/>
    <row r="126" s="45" customFormat="1" ht="20.100000000000001" customHeight="1" x14ac:dyDescent="0.25"/>
    <row r="127" s="45" customFormat="1" ht="20.100000000000001" customHeight="1" x14ac:dyDescent="0.25"/>
    <row r="128" s="45" customFormat="1" ht="20.100000000000001" customHeight="1" x14ac:dyDescent="0.25"/>
    <row r="129" s="45" customFormat="1" ht="20.100000000000001" customHeight="1" x14ac:dyDescent="0.25"/>
    <row r="130" s="45" customFormat="1" ht="20.100000000000001" customHeight="1" x14ac:dyDescent="0.25"/>
    <row r="131" s="45" customFormat="1" ht="20.100000000000001" customHeight="1" x14ac:dyDescent="0.25"/>
    <row r="132" s="45" customFormat="1" ht="20.100000000000001" customHeight="1" x14ac:dyDescent="0.25"/>
    <row r="133" s="45" customFormat="1" ht="20.100000000000001" customHeight="1" x14ac:dyDescent="0.25"/>
    <row r="134" s="45" customFormat="1" ht="20.100000000000001" customHeight="1" x14ac:dyDescent="0.25"/>
    <row r="135" s="45" customFormat="1" ht="20.100000000000001" customHeight="1" x14ac:dyDescent="0.25"/>
    <row r="136" s="45" customFormat="1" ht="20.100000000000001" customHeight="1" x14ac:dyDescent="0.25"/>
    <row r="137" s="45" customFormat="1" ht="20.100000000000001" customHeight="1" x14ac:dyDescent="0.25"/>
    <row r="138" s="45" customFormat="1" ht="20.100000000000001" customHeight="1" x14ac:dyDescent="0.25"/>
    <row r="139" s="45" customFormat="1" ht="20.100000000000001" customHeight="1" x14ac:dyDescent="0.25"/>
    <row r="140" s="45" customFormat="1" ht="20.100000000000001" customHeight="1" x14ac:dyDescent="0.25"/>
    <row r="141" s="45" customFormat="1" ht="20.100000000000001" customHeight="1" x14ac:dyDescent="0.25"/>
    <row r="142" s="45" customFormat="1" ht="20.100000000000001" customHeight="1" x14ac:dyDescent="0.25"/>
    <row r="143" s="45" customFormat="1" ht="20.100000000000001" customHeight="1" x14ac:dyDescent="0.25"/>
    <row r="144" s="45" customFormat="1" ht="20.100000000000001" customHeight="1" x14ac:dyDescent="0.25"/>
    <row r="145" s="45" customFormat="1" ht="20.100000000000001" customHeight="1" x14ac:dyDescent="0.25"/>
    <row r="146" s="45" customFormat="1" ht="20.100000000000001" customHeight="1" x14ac:dyDescent="0.25"/>
    <row r="147" s="45" customFormat="1" ht="20.100000000000001" customHeight="1" x14ac:dyDescent="0.25"/>
    <row r="148" s="45" customFormat="1" ht="20.100000000000001" customHeight="1" x14ac:dyDescent="0.25"/>
    <row r="149" s="45" customFormat="1" ht="20.100000000000001" customHeight="1" x14ac:dyDescent="0.25"/>
    <row r="150" s="45" customFormat="1" ht="20.100000000000001" customHeight="1" x14ac:dyDescent="0.25"/>
    <row r="151" s="45" customFormat="1" ht="20.100000000000001" customHeight="1" x14ac:dyDescent="0.25"/>
    <row r="152" s="45" customFormat="1" ht="20.100000000000001" customHeight="1" x14ac:dyDescent="0.25"/>
    <row r="153" s="45" customFormat="1" ht="20.100000000000001" customHeight="1" x14ac:dyDescent="0.25"/>
    <row r="154" s="45" customFormat="1" ht="20.100000000000001" customHeight="1" x14ac:dyDescent="0.25"/>
    <row r="155" s="45" customFormat="1" ht="20.100000000000001" customHeight="1" x14ac:dyDescent="0.25"/>
    <row r="156" s="45" customFormat="1" ht="20.100000000000001" customHeight="1" x14ac:dyDescent="0.25"/>
    <row r="157" s="45" customFormat="1" ht="20.100000000000001" customHeight="1" x14ac:dyDescent="0.25"/>
    <row r="158" s="45" customFormat="1" ht="20.100000000000001" customHeight="1" x14ac:dyDescent="0.25"/>
    <row r="159" s="45" customFormat="1" ht="20.100000000000001" customHeight="1" x14ac:dyDescent="0.25"/>
    <row r="160" s="45" customFormat="1" ht="20.100000000000001" customHeight="1" x14ac:dyDescent="0.25"/>
    <row r="161" s="45" customFormat="1" ht="20.100000000000001" customHeight="1" x14ac:dyDescent="0.25"/>
    <row r="162" s="45" customFormat="1" ht="20.100000000000001" customHeight="1" x14ac:dyDescent="0.25"/>
    <row r="163" s="45" customFormat="1" ht="20.100000000000001" customHeight="1" x14ac:dyDescent="0.25"/>
    <row r="164" s="45" customFormat="1" ht="20.100000000000001" customHeight="1" x14ac:dyDescent="0.25"/>
    <row r="165" s="45" customFormat="1" ht="20.100000000000001" customHeight="1" x14ac:dyDescent="0.25"/>
    <row r="166" s="45" customFormat="1" ht="20.100000000000001" customHeight="1" x14ac:dyDescent="0.25"/>
    <row r="167" s="45" customFormat="1" ht="20.100000000000001" customHeight="1" x14ac:dyDescent="0.25"/>
    <row r="168" s="45" customFormat="1" ht="20.100000000000001" customHeight="1" x14ac:dyDescent="0.25"/>
    <row r="169" s="45" customFormat="1" ht="20.100000000000001" customHeight="1" x14ac:dyDescent="0.25"/>
    <row r="170" s="45" customFormat="1" ht="20.100000000000001" customHeight="1" x14ac:dyDescent="0.25"/>
    <row r="171" s="45" customFormat="1" ht="20.100000000000001" customHeight="1" x14ac:dyDescent="0.25"/>
    <row r="172" s="45" customFormat="1" ht="20.100000000000001" customHeight="1" x14ac:dyDescent="0.25"/>
    <row r="173" s="45" customFormat="1" ht="20.100000000000001" customHeight="1" x14ac:dyDescent="0.25"/>
    <row r="174" s="45" customFormat="1" ht="20.100000000000001" customHeight="1" x14ac:dyDescent="0.25"/>
    <row r="175" s="45" customFormat="1" ht="20.100000000000001" customHeight="1" x14ac:dyDescent="0.25"/>
    <row r="176" s="45" customFormat="1" ht="20.100000000000001" customHeight="1" x14ac:dyDescent="0.25"/>
    <row r="177" s="45" customFormat="1" ht="20.100000000000001" customHeight="1" x14ac:dyDescent="0.25"/>
    <row r="178" s="45" customFormat="1" ht="20.100000000000001" customHeight="1" x14ac:dyDescent="0.25"/>
    <row r="179" s="45" customFormat="1" ht="20.100000000000001" customHeight="1" x14ac:dyDescent="0.25"/>
    <row r="180" s="45" customFormat="1" ht="20.100000000000001" customHeight="1" x14ac:dyDescent="0.25"/>
    <row r="181" s="45" customFormat="1" ht="20.100000000000001" customHeight="1" x14ac:dyDescent="0.25"/>
    <row r="182" s="45" customFormat="1" ht="20.100000000000001" customHeight="1" x14ac:dyDescent="0.25"/>
    <row r="183" s="45" customFormat="1" ht="20.100000000000001" customHeight="1" x14ac:dyDescent="0.25"/>
    <row r="184" s="45" customFormat="1" ht="20.100000000000001" customHeight="1" x14ac:dyDescent="0.25"/>
    <row r="185" s="45" customFormat="1" ht="20.100000000000001" customHeight="1" x14ac:dyDescent="0.25"/>
    <row r="186" s="45" customFormat="1" ht="20.100000000000001" customHeight="1" x14ac:dyDescent="0.25"/>
    <row r="187" s="45" customFormat="1" ht="20.100000000000001" customHeight="1" x14ac:dyDescent="0.25"/>
    <row r="188" s="45" customFormat="1" ht="20.100000000000001" customHeight="1" x14ac:dyDescent="0.25"/>
    <row r="189" s="45" customFormat="1" ht="20.100000000000001" customHeight="1" x14ac:dyDescent="0.25"/>
    <row r="190" s="45" customFormat="1" ht="20.100000000000001" customHeight="1" x14ac:dyDescent="0.25"/>
    <row r="191" s="45" customFormat="1" ht="20.100000000000001" customHeight="1" x14ac:dyDescent="0.25"/>
    <row r="192" s="45" customFormat="1" ht="20.100000000000001" customHeight="1" x14ac:dyDescent="0.25"/>
    <row r="193" s="45" customFormat="1" ht="20.100000000000001" customHeight="1" x14ac:dyDescent="0.25"/>
    <row r="194" s="45" customFormat="1" ht="20.100000000000001" customHeight="1" x14ac:dyDescent="0.25"/>
    <row r="195" s="45" customFormat="1" ht="20.100000000000001" customHeight="1" x14ac:dyDescent="0.25"/>
    <row r="196" s="45" customFormat="1" ht="20.100000000000001" customHeight="1" x14ac:dyDescent="0.25"/>
    <row r="197" s="45" customFormat="1" ht="20.100000000000001" customHeight="1" x14ac:dyDescent="0.25"/>
    <row r="198" s="45" customFormat="1" ht="20.100000000000001" customHeight="1" x14ac:dyDescent="0.25"/>
    <row r="199" s="45" customFormat="1" ht="20.100000000000001" customHeight="1" x14ac:dyDescent="0.25"/>
    <row r="200" s="45" customFormat="1" ht="20.100000000000001" customHeight="1" x14ac:dyDescent="0.25"/>
    <row r="201" s="45" customFormat="1" ht="20.100000000000001" customHeight="1" x14ac:dyDescent="0.25"/>
    <row r="202" s="45" customFormat="1" ht="20.100000000000001" customHeight="1" x14ac:dyDescent="0.25"/>
    <row r="203" s="45" customFormat="1" ht="20.100000000000001" customHeight="1" x14ac:dyDescent="0.25"/>
    <row r="204" s="45" customFormat="1" ht="20.100000000000001" customHeight="1" x14ac:dyDescent="0.25"/>
    <row r="205" s="45" customFormat="1" ht="20.100000000000001" customHeight="1" x14ac:dyDescent="0.25"/>
    <row r="206" s="45" customFormat="1" ht="20.100000000000001" customHeight="1" x14ac:dyDescent="0.25"/>
    <row r="207" s="45" customFormat="1" ht="20.100000000000001" customHeight="1" x14ac:dyDescent="0.25"/>
    <row r="208" s="45" customFormat="1" ht="20.100000000000001" customHeight="1" x14ac:dyDescent="0.25"/>
    <row r="209" s="45" customFormat="1" ht="20.100000000000001" customHeight="1" x14ac:dyDescent="0.25"/>
    <row r="210" s="45" customFormat="1" ht="20.100000000000001" customHeight="1" x14ac:dyDescent="0.25"/>
    <row r="211" s="45" customFormat="1" ht="20.100000000000001" customHeight="1" x14ac:dyDescent="0.25"/>
    <row r="212" s="45" customFormat="1" ht="20.100000000000001" customHeight="1" x14ac:dyDescent="0.25"/>
    <row r="213" s="45" customFormat="1" ht="20.100000000000001" customHeight="1" x14ac:dyDescent="0.25"/>
    <row r="214" s="45" customFormat="1" ht="20.100000000000001" customHeight="1" x14ac:dyDescent="0.25"/>
    <row r="215" s="45" customFormat="1" ht="20.100000000000001" customHeight="1" x14ac:dyDescent="0.25"/>
    <row r="216" s="45" customFormat="1" ht="20.100000000000001" customHeight="1" x14ac:dyDescent="0.25"/>
    <row r="217" s="45" customFormat="1" ht="20.100000000000001" customHeight="1" x14ac:dyDescent="0.25"/>
    <row r="218" s="45" customFormat="1" ht="20.100000000000001" customHeight="1" x14ac:dyDescent="0.25"/>
    <row r="219" s="45" customFormat="1" ht="20.100000000000001" customHeight="1" x14ac:dyDescent="0.25"/>
    <row r="220" s="45" customFormat="1" ht="20.100000000000001" customHeight="1" x14ac:dyDescent="0.25"/>
    <row r="221" s="45" customFormat="1" ht="20.100000000000001" customHeight="1" x14ac:dyDescent="0.25"/>
    <row r="222" s="45" customFormat="1" ht="20.100000000000001" customHeight="1" x14ac:dyDescent="0.25"/>
    <row r="223" s="45" customFormat="1" ht="20.100000000000001" customHeight="1" x14ac:dyDescent="0.25"/>
    <row r="224" s="45" customFormat="1" ht="20.100000000000001" customHeight="1" x14ac:dyDescent="0.25"/>
    <row r="225" s="45" customFormat="1" ht="20.100000000000001" customHeight="1" x14ac:dyDescent="0.25"/>
    <row r="226" s="45" customFormat="1" ht="20.100000000000001" customHeight="1" x14ac:dyDescent="0.25"/>
    <row r="227" s="45" customFormat="1" ht="20.100000000000001" customHeight="1" x14ac:dyDescent="0.25"/>
    <row r="228" s="45" customFormat="1" ht="20.100000000000001" customHeight="1" x14ac:dyDescent="0.25"/>
    <row r="229" s="45" customFormat="1" ht="20.100000000000001" customHeight="1" x14ac:dyDescent="0.25"/>
    <row r="230" s="45" customFormat="1" ht="20.100000000000001" customHeight="1" x14ac:dyDescent="0.25"/>
    <row r="231" s="45" customFormat="1" ht="20.100000000000001" customHeight="1" x14ac:dyDescent="0.25"/>
    <row r="232" s="45" customFormat="1" ht="20.100000000000001" customHeight="1" x14ac:dyDescent="0.25"/>
    <row r="233" s="45" customFormat="1" ht="20.100000000000001" customHeight="1" x14ac:dyDescent="0.25"/>
    <row r="234" s="45" customFormat="1" ht="20.100000000000001" customHeight="1" x14ac:dyDescent="0.25"/>
    <row r="235" s="45" customFormat="1" ht="20.100000000000001" customHeight="1" x14ac:dyDescent="0.25"/>
    <row r="236" s="45" customFormat="1" ht="20.100000000000001" customHeight="1" x14ac:dyDescent="0.25"/>
    <row r="237" s="45" customFormat="1" ht="20.100000000000001" customHeight="1" x14ac:dyDescent="0.25"/>
    <row r="238" s="45" customFormat="1" ht="20.100000000000001" customHeight="1" x14ac:dyDescent="0.25"/>
    <row r="239" s="45" customFormat="1" ht="20.100000000000001" customHeight="1" x14ac:dyDescent="0.25"/>
    <row r="240" s="45" customFormat="1" ht="20.100000000000001" customHeight="1" x14ac:dyDescent="0.25"/>
    <row r="241" s="45" customFormat="1" ht="20.100000000000001" customHeight="1" x14ac:dyDescent="0.25"/>
    <row r="242" s="45" customFormat="1" ht="20.100000000000001" customHeight="1" x14ac:dyDescent="0.25"/>
    <row r="243" s="45" customFormat="1" ht="20.100000000000001" customHeight="1" x14ac:dyDescent="0.25"/>
    <row r="244" s="45" customFormat="1" ht="20.100000000000001" customHeight="1" x14ac:dyDescent="0.25"/>
    <row r="245" s="45" customFormat="1" ht="20.100000000000001" customHeight="1" x14ac:dyDescent="0.25"/>
    <row r="246" s="45" customFormat="1" ht="20.100000000000001" customHeight="1" x14ac:dyDescent="0.25"/>
    <row r="247" s="45" customFormat="1" ht="20.100000000000001" customHeight="1" x14ac:dyDescent="0.25"/>
    <row r="248" s="45" customFormat="1" ht="20.100000000000001" customHeight="1" x14ac:dyDescent="0.25"/>
    <row r="249" s="45" customFormat="1" ht="20.100000000000001" customHeight="1" x14ac:dyDescent="0.25"/>
    <row r="250" s="45" customFormat="1" ht="20.100000000000001" customHeight="1" x14ac:dyDescent="0.25"/>
    <row r="251" s="45" customFormat="1" ht="20.100000000000001" customHeight="1" x14ac:dyDescent="0.25"/>
    <row r="252" s="45" customFormat="1" ht="20.100000000000001" customHeight="1" x14ac:dyDescent="0.25"/>
    <row r="253" s="45" customFormat="1" ht="20.100000000000001" customHeight="1" x14ac:dyDescent="0.25"/>
    <row r="254" s="45" customFormat="1" ht="20.100000000000001" customHeight="1" x14ac:dyDescent="0.25"/>
    <row r="255" s="45" customFormat="1" ht="20.100000000000001" customHeight="1" x14ac:dyDescent="0.25"/>
    <row r="256" s="45" customFormat="1" ht="20.100000000000001" customHeight="1" x14ac:dyDescent="0.25"/>
    <row r="257" s="45" customFormat="1" ht="20.100000000000001" customHeight="1" x14ac:dyDescent="0.25"/>
    <row r="258" s="45" customFormat="1" ht="20.100000000000001" customHeight="1" x14ac:dyDescent="0.25"/>
    <row r="259" s="45" customFormat="1" ht="20.100000000000001" customHeight="1" x14ac:dyDescent="0.25"/>
    <row r="260" s="45" customFormat="1" ht="20.100000000000001" customHeight="1" x14ac:dyDescent="0.25"/>
    <row r="261" s="45" customFormat="1" ht="20.100000000000001" customHeight="1" x14ac:dyDescent="0.25"/>
    <row r="262" s="45" customFormat="1" ht="20.100000000000001" customHeight="1" x14ac:dyDescent="0.25"/>
    <row r="263" s="45" customFormat="1" ht="20.100000000000001" customHeight="1" x14ac:dyDescent="0.25"/>
    <row r="264" s="45" customFormat="1" ht="20.100000000000001" customHeight="1" x14ac:dyDescent="0.25"/>
    <row r="265" s="45" customFormat="1" ht="20.100000000000001" customHeight="1" x14ac:dyDescent="0.25"/>
    <row r="266" s="45" customFormat="1" ht="20.100000000000001" customHeight="1" x14ac:dyDescent="0.25"/>
    <row r="267" s="45" customFormat="1" ht="20.100000000000001" customHeight="1" x14ac:dyDescent="0.25"/>
    <row r="268" s="45" customFormat="1" ht="20.100000000000001" customHeight="1" x14ac:dyDescent="0.25"/>
    <row r="269" s="45" customFormat="1" ht="20.100000000000001" customHeight="1" x14ac:dyDescent="0.25"/>
    <row r="270" s="45" customFormat="1" ht="20.100000000000001" customHeight="1" x14ac:dyDescent="0.25"/>
    <row r="271" s="45" customFormat="1" ht="20.100000000000001" customHeight="1" x14ac:dyDescent="0.25"/>
    <row r="272" s="45" customFormat="1" ht="20.100000000000001" customHeight="1" x14ac:dyDescent="0.25"/>
    <row r="273" s="45" customFormat="1" ht="20.100000000000001" customHeight="1" x14ac:dyDescent="0.25"/>
    <row r="274" s="45" customFormat="1" ht="20.100000000000001" customHeight="1" x14ac:dyDescent="0.25"/>
    <row r="275" s="45" customFormat="1" ht="20.100000000000001" customHeight="1" x14ac:dyDescent="0.25"/>
    <row r="276" s="45" customFormat="1" ht="20.100000000000001" customHeight="1" x14ac:dyDescent="0.25"/>
    <row r="277" s="45" customFormat="1" ht="20.100000000000001" customHeight="1" x14ac:dyDescent="0.25"/>
    <row r="278" s="45" customFormat="1" ht="20.100000000000001" customHeight="1" x14ac:dyDescent="0.25"/>
    <row r="279" s="45" customFormat="1" ht="20.100000000000001" customHeight="1" x14ac:dyDescent="0.25"/>
    <row r="280" s="45" customFormat="1" ht="20.100000000000001" customHeight="1" x14ac:dyDescent="0.25"/>
    <row r="281" s="45" customFormat="1" ht="20.100000000000001" customHeight="1" x14ac:dyDescent="0.25"/>
    <row r="282" s="45" customFormat="1" ht="20.100000000000001" customHeight="1" x14ac:dyDescent="0.25"/>
    <row r="283" s="45" customFormat="1" ht="20.100000000000001" customHeight="1" x14ac:dyDescent="0.25"/>
    <row r="284" s="45" customFormat="1" ht="20.100000000000001" customHeight="1" x14ac:dyDescent="0.25"/>
    <row r="285" s="45" customFormat="1" ht="20.100000000000001" customHeight="1" x14ac:dyDescent="0.25"/>
    <row r="286" s="45" customFormat="1" ht="20.100000000000001" customHeight="1" x14ac:dyDescent="0.25"/>
    <row r="287" s="45" customFormat="1" ht="20.100000000000001" customHeight="1" x14ac:dyDescent="0.25"/>
    <row r="288" s="45" customFormat="1" ht="20.100000000000001" customHeight="1" x14ac:dyDescent="0.25"/>
    <row r="289" s="45" customFormat="1" ht="20.100000000000001" customHeight="1" x14ac:dyDescent="0.25"/>
    <row r="290" s="45" customFormat="1" ht="20.100000000000001" customHeight="1" x14ac:dyDescent="0.25"/>
    <row r="291" s="45" customFormat="1" ht="20.100000000000001" customHeight="1" x14ac:dyDescent="0.25"/>
    <row r="292" s="45" customFormat="1" ht="20.100000000000001" customHeight="1" x14ac:dyDescent="0.25"/>
    <row r="293" s="45" customFormat="1" ht="20.100000000000001" customHeight="1" x14ac:dyDescent="0.25"/>
    <row r="294" s="45" customFormat="1" ht="20.100000000000001" customHeight="1" x14ac:dyDescent="0.25"/>
    <row r="295" s="45" customFormat="1" ht="20.100000000000001" customHeight="1" x14ac:dyDescent="0.25"/>
    <row r="296" s="45" customFormat="1" ht="20.100000000000001" customHeight="1" x14ac:dyDescent="0.25"/>
    <row r="297" s="45" customFormat="1" ht="20.100000000000001" customHeight="1" x14ac:dyDescent="0.25"/>
    <row r="298" s="45" customFormat="1" ht="20.100000000000001" customHeight="1" x14ac:dyDescent="0.25"/>
    <row r="299" s="45" customFormat="1" ht="20.100000000000001" customHeight="1" x14ac:dyDescent="0.25"/>
    <row r="300" s="45" customFormat="1" ht="20.100000000000001" customHeight="1" x14ac:dyDescent="0.25"/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E8F78-2FE3-41E4-932E-0A3A16D82C45}">
  <sheetPr codeName="Sheet13">
    <tabColor theme="2" tint="-9.9978637043366805E-2"/>
  </sheetPr>
  <dimension ref="A1:R300"/>
  <sheetViews>
    <sheetView zoomScale="63" zoomScaleNormal="63" workbookViewId="0"/>
  </sheetViews>
  <sheetFormatPr defaultRowHeight="15" x14ac:dyDescent="0.25"/>
  <cols>
    <col min="1" max="1" width="5.7109375" style="45" customWidth="1"/>
    <col min="2" max="2" width="50.7109375" style="45" customWidth="1"/>
    <col min="3" max="3" width="5.7109375" style="45" customWidth="1"/>
    <col min="4" max="4" width="50.7109375" style="45" customWidth="1"/>
    <col min="5" max="5" width="5.7109375" style="45" customWidth="1"/>
    <col min="6" max="6" width="50.7109375" style="45" customWidth="1"/>
    <col min="7" max="7" width="5.7109375" style="45" customWidth="1"/>
    <col min="8" max="8" width="50.7109375" style="45" customWidth="1"/>
    <col min="9" max="9" width="5.7109375" style="45" customWidth="1"/>
    <col min="10" max="10" width="50.7109375" style="45" customWidth="1"/>
    <col min="11" max="11" width="5.7109375" style="45" customWidth="1"/>
    <col min="12" max="12" width="50.7109375" style="45" customWidth="1"/>
    <col min="13" max="13" width="5.7109375" style="45" customWidth="1"/>
    <col min="14" max="14" width="50.7109375" style="45" customWidth="1"/>
    <col min="15" max="15" width="5.7109375" style="45" customWidth="1"/>
    <col min="16" max="16" width="50.7109375" style="45" customWidth="1"/>
    <col min="17" max="17" width="5.7109375" style="45" customWidth="1"/>
    <col min="18" max="18" width="50.7109375" style="45" customWidth="1"/>
    <col min="19" max="19" width="5.7109375" style="45" customWidth="1"/>
    <col min="20" max="20" width="50.7109375" style="45" customWidth="1"/>
    <col min="21" max="21" width="5.7109375" style="45" customWidth="1"/>
    <col min="22" max="22" width="50.7109375" style="45" customWidth="1"/>
    <col min="23" max="16384" width="9.140625" style="45"/>
  </cols>
  <sheetData>
    <row r="1" spans="1:18" ht="45" customHeight="1" x14ac:dyDescent="0.25">
      <c r="A1" s="114"/>
      <c r="B1" s="114"/>
      <c r="C1" s="114"/>
      <c r="D1" s="114"/>
      <c r="E1" s="114"/>
      <c r="F1" s="114"/>
      <c r="G1" s="114"/>
      <c r="H1" s="114"/>
      <c r="I1" s="115"/>
      <c r="J1" s="116" t="s">
        <v>211</v>
      </c>
      <c r="K1" s="115"/>
      <c r="L1" s="114"/>
      <c r="M1" s="114"/>
      <c r="N1" s="114"/>
      <c r="O1" s="114"/>
      <c r="P1" s="114"/>
      <c r="Q1" s="114"/>
      <c r="R1" s="114"/>
    </row>
    <row r="2" spans="1:18" ht="9.9499999999999993" customHeight="1" x14ac:dyDescent="0.2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spans="1:18" ht="20.100000000000001" customHeight="1" thickBot="1" x14ac:dyDescent="0.3">
      <c r="A3" s="114"/>
      <c r="B3" s="114"/>
      <c r="C3" s="114"/>
      <c r="D3" s="114"/>
      <c r="E3" s="114"/>
      <c r="F3" s="114"/>
      <c r="G3" s="114"/>
      <c r="H3" s="114"/>
      <c r="I3" s="273">
        <v>1</v>
      </c>
      <c r="J3" s="117" t="s">
        <v>169</v>
      </c>
      <c r="K3" s="118"/>
      <c r="L3" s="114"/>
      <c r="M3" s="114"/>
      <c r="N3" s="114"/>
      <c r="O3" s="114"/>
      <c r="P3" s="114"/>
      <c r="Q3" s="114"/>
      <c r="R3" s="114"/>
    </row>
    <row r="4" spans="1:18" ht="20.100000000000001" customHeight="1" thickTop="1" x14ac:dyDescent="0.25">
      <c r="A4" s="114"/>
      <c r="B4" s="114"/>
      <c r="C4" s="114"/>
      <c r="D4" s="114"/>
      <c r="E4" s="114"/>
      <c r="F4" s="114"/>
      <c r="G4" s="114"/>
      <c r="H4" s="119"/>
      <c r="I4" s="274"/>
      <c r="J4" s="120" t="str">
        <f>IF(ISBLANK(J3),"",IFERROR(_xlfn.XLOOKUP(J3,'List of Teams'!$B$2:$B$65,'List of Teams'!$C$2:$C$65),""))</f>
        <v>team 33</v>
      </c>
      <c r="K4" s="121"/>
      <c r="L4" s="114"/>
      <c r="M4" s="114"/>
      <c r="N4" s="114"/>
      <c r="O4" s="114"/>
      <c r="P4" s="114"/>
      <c r="Q4" s="114"/>
      <c r="R4" s="114"/>
    </row>
    <row r="5" spans="1:18" ht="20.100000000000001" customHeight="1" thickBot="1" x14ac:dyDescent="0.3">
      <c r="A5" s="114"/>
      <c r="B5" s="114"/>
      <c r="C5" s="114"/>
      <c r="D5" s="114"/>
      <c r="E5" s="114"/>
      <c r="F5" s="114"/>
      <c r="G5" s="127"/>
      <c r="H5" s="123" t="str">
        <f>IF(J8="Bye",J8,IF(OR(ISBLANK(J3),ISBLANK(J8)),"",IF(OR(ISBLANK(K3),ISBLANK(K8)),"",IF(K3&lt;K8,J3,J8))))</f>
        <v>Bye</v>
      </c>
      <c r="I5" s="275"/>
      <c r="J5" s="124" t="s">
        <v>40</v>
      </c>
      <c r="K5" s="125"/>
      <c r="L5" s="126" t="str">
        <f>IF(J8="Bye",J3,IF(OR(ISBLANK(J3),ISBLANK(J8)),"",IF(OR(ISBLANK(K3),ISBLANK(K8)),"",IF(K3&gt;K8,J3,J8))))</f>
        <v>University of team 33</v>
      </c>
      <c r="M5" s="127"/>
      <c r="N5" s="114"/>
      <c r="O5" s="114"/>
      <c r="P5" s="114"/>
      <c r="Q5" s="114"/>
      <c r="R5" s="114"/>
    </row>
    <row r="6" spans="1:18" ht="20.100000000000001" customHeight="1" thickTop="1" x14ac:dyDescent="0.35">
      <c r="A6" s="114"/>
      <c r="B6" s="114"/>
      <c r="C6" s="114"/>
      <c r="D6" s="114"/>
      <c r="E6" s="114"/>
      <c r="F6" s="114"/>
      <c r="G6" s="128"/>
      <c r="H6" s="129" t="str">
        <f>IF(H5="","",IF(K3&lt;K8,K3&amp;"-"&amp;K8,K8&amp;"-"&amp;K3))</f>
        <v>-</v>
      </c>
      <c r="I6" s="273"/>
      <c r="J6" s="130" t="s">
        <v>32</v>
      </c>
      <c r="K6" s="125"/>
      <c r="L6" s="131" t="str">
        <f>IF(L5="","",IF(K3&gt;K8,K3&amp;"-"&amp;K8,K8&amp;"-"&amp;K3))</f>
        <v>-</v>
      </c>
      <c r="M6" s="132"/>
      <c r="N6" s="133"/>
      <c r="O6" s="114"/>
      <c r="P6" s="114"/>
      <c r="Q6" s="114"/>
      <c r="R6" s="114"/>
    </row>
    <row r="7" spans="1:18" ht="20.100000000000001" customHeight="1" thickBot="1" x14ac:dyDescent="0.3">
      <c r="A7" s="114"/>
      <c r="B7" s="114"/>
      <c r="C7" s="114"/>
      <c r="D7" s="114"/>
      <c r="E7" s="114"/>
      <c r="F7" s="114"/>
      <c r="G7" s="134"/>
      <c r="H7" s="135"/>
      <c r="I7" s="276"/>
      <c r="J7" s="136" t="str">
        <f>IF(ISBLANK(J8),"",IFERROR(_xlfn.XLOOKUP(J8,'List of Teams'!$B$2:$B$65,'List of Teams'!$C$2:$C$65),""))</f>
        <v/>
      </c>
      <c r="K7" s="137"/>
      <c r="L7" s="132"/>
      <c r="M7" s="132"/>
      <c r="N7" s="133"/>
      <c r="O7" s="114"/>
      <c r="P7" s="114"/>
      <c r="Q7" s="114"/>
      <c r="R7" s="114"/>
    </row>
    <row r="8" spans="1:18" ht="20.100000000000001" customHeight="1" thickTop="1" x14ac:dyDescent="0.25">
      <c r="A8" s="114"/>
      <c r="B8" s="114"/>
      <c r="C8" s="114"/>
      <c r="D8" s="114"/>
      <c r="E8" s="114"/>
      <c r="F8" s="114"/>
      <c r="G8" s="134"/>
      <c r="H8" s="132"/>
      <c r="I8" s="273">
        <v>16</v>
      </c>
      <c r="J8" s="117" t="s">
        <v>222</v>
      </c>
      <c r="K8" s="138"/>
      <c r="L8" s="132"/>
      <c r="M8" s="132"/>
      <c r="N8" s="133"/>
      <c r="O8" s="114"/>
      <c r="P8" s="114"/>
      <c r="Q8" s="114"/>
      <c r="R8" s="114"/>
    </row>
    <row r="9" spans="1:18" ht="20.100000000000001" customHeight="1" thickBot="1" x14ac:dyDescent="0.3">
      <c r="A9" s="114"/>
      <c r="B9" s="114"/>
      <c r="C9" s="114"/>
      <c r="D9" s="114"/>
      <c r="E9" s="144"/>
      <c r="F9" s="140" t="str">
        <f>IF(H14="Bye",H5,IF(OR(ISBLANK(H5),ISBLANK(H14)),"",IF(OR(ISBLANK(G5),ISBLANK(G14)),"",IF(G5&gt;G14,H5,H14))))</f>
        <v/>
      </c>
      <c r="G9" s="134"/>
      <c r="H9" s="141" t="s">
        <v>49</v>
      </c>
      <c r="I9" s="142"/>
      <c r="J9" s="132"/>
      <c r="K9" s="132"/>
      <c r="L9" s="141" t="s">
        <v>36</v>
      </c>
      <c r="M9" s="132"/>
      <c r="N9" s="143" t="str">
        <f>IF(L14="Bye",L5,IF(OR(ISBLANK(L5),ISBLANK(L14)),"",IF(OR(ISBLANK(M5),ISBLANK(M14)),"",IF(M5&gt;M14,L5,L14))))</f>
        <v/>
      </c>
      <c r="O9" s="144"/>
      <c r="P9" s="114"/>
      <c r="Q9" s="114"/>
      <c r="R9" s="114"/>
    </row>
    <row r="10" spans="1:18" ht="20.100000000000001" customHeight="1" thickTop="1" x14ac:dyDescent="0.35">
      <c r="A10" s="114"/>
      <c r="B10" s="114"/>
      <c r="C10" s="114"/>
      <c r="D10" s="114"/>
      <c r="E10" s="145"/>
      <c r="F10" s="146" t="str">
        <f>IF(F9="","",IF(G5&gt;G14,G5&amp;"-"&amp;G14,G14&amp;"-"&amp;G5))</f>
        <v/>
      </c>
      <c r="G10" s="134"/>
      <c r="H10" s="147" t="s">
        <v>32</v>
      </c>
      <c r="I10" s="142"/>
      <c r="J10" s="132"/>
      <c r="K10" s="132"/>
      <c r="L10" s="147" t="s">
        <v>32</v>
      </c>
      <c r="M10" s="132"/>
      <c r="N10" s="148" t="str">
        <f>IF(N9="","",IF(M5&gt;M14,M5&amp;"-"&amp;M14,M14&amp;"-"&amp;M5))</f>
        <v/>
      </c>
      <c r="O10" s="149"/>
      <c r="P10" s="133"/>
      <c r="Q10" s="114"/>
      <c r="R10" s="114"/>
    </row>
    <row r="11" spans="1:18" ht="20.100000000000001" customHeight="1" thickBot="1" x14ac:dyDescent="0.3">
      <c r="A11" s="114"/>
      <c r="B11" s="114"/>
      <c r="C11" s="114"/>
      <c r="D11" s="114"/>
      <c r="E11" s="150"/>
      <c r="F11" s="149"/>
      <c r="G11" s="134"/>
      <c r="H11" s="132"/>
      <c r="I11" s="273">
        <v>8</v>
      </c>
      <c r="J11" s="117" t="s">
        <v>165</v>
      </c>
      <c r="K11" s="118"/>
      <c r="L11" s="132"/>
      <c r="M11" s="132"/>
      <c r="N11" s="150"/>
      <c r="O11" s="149"/>
      <c r="P11" s="133"/>
      <c r="Q11" s="114"/>
      <c r="R11" s="114"/>
    </row>
    <row r="12" spans="1:18" ht="20.100000000000001" customHeight="1" thickTop="1" x14ac:dyDescent="0.25">
      <c r="A12" s="114"/>
      <c r="B12" s="114"/>
      <c r="C12" s="114"/>
      <c r="D12" s="114"/>
      <c r="E12" s="150"/>
      <c r="F12" s="149"/>
      <c r="G12" s="134"/>
      <c r="H12" s="135"/>
      <c r="I12" s="274"/>
      <c r="J12" s="120" t="str">
        <f>IF(ISBLANK(J11),"",IFERROR(_xlfn.XLOOKUP(J11,'List of Teams'!$B$2:$B$65,'List of Teams'!$C$2:$C$65),""))</f>
        <v>team 29</v>
      </c>
      <c r="K12" s="121"/>
      <c r="L12" s="132"/>
      <c r="M12" s="132"/>
      <c r="N12" s="150"/>
      <c r="O12" s="149"/>
      <c r="P12" s="133"/>
      <c r="Q12" s="114"/>
      <c r="R12" s="114"/>
    </row>
    <row r="13" spans="1:18" ht="20.100000000000001" customHeight="1" thickBot="1" x14ac:dyDescent="0.3">
      <c r="A13" s="114"/>
      <c r="B13" s="114"/>
      <c r="C13" s="114"/>
      <c r="D13" s="114"/>
      <c r="E13" s="150"/>
      <c r="F13" s="149"/>
      <c r="G13" s="151"/>
      <c r="H13" s="152" t="str">
        <f>IF(H14="","",IF(K11&lt;K16,K11&amp;"-"&amp;K16,K16&amp;"-"&amp;K11))</f>
        <v/>
      </c>
      <c r="I13" s="273"/>
      <c r="J13" s="124" t="s">
        <v>41</v>
      </c>
      <c r="K13" s="125"/>
      <c r="L13" s="131" t="str">
        <f>IF(L14="","",IF(K11&gt;K16,K11&amp;"-"&amp;K16,K16&amp;"-"&amp;K11))</f>
        <v/>
      </c>
      <c r="M13" s="153"/>
      <c r="N13" s="150"/>
      <c r="O13" s="149"/>
      <c r="P13" s="133"/>
      <c r="Q13" s="114"/>
      <c r="R13" s="114"/>
    </row>
    <row r="14" spans="1:18" ht="20.100000000000001" customHeight="1" thickTop="1" x14ac:dyDescent="0.35">
      <c r="A14" s="114"/>
      <c r="B14" s="114"/>
      <c r="C14" s="114"/>
      <c r="D14" s="114"/>
      <c r="E14" s="150"/>
      <c r="F14" s="149"/>
      <c r="G14" s="154"/>
      <c r="H14" s="155" t="str">
        <f>IF(J16="Bye",J16,IF(OR(ISBLANK(J11),ISBLANK(J16)),"",IF(OR(ISBLANK(K11),ISBLANK(K16)),"",IF(K11&lt;K16,J11,J16))))</f>
        <v/>
      </c>
      <c r="I14" s="275"/>
      <c r="J14" s="130" t="s">
        <v>32</v>
      </c>
      <c r="K14" s="125"/>
      <c r="L14" s="156" t="str">
        <f>IF(J16="Bye",J11,IF(OR(ISBLANK(J11),ISBLANK(J16)),"",IF(OR(ISBLANK(K11),ISBLANK(K16)),"",IF(K11&gt;K16,J11,J16))))</f>
        <v/>
      </c>
      <c r="M14" s="154"/>
      <c r="N14" s="149"/>
      <c r="O14" s="149"/>
      <c r="P14" s="133"/>
      <c r="Q14" s="114"/>
      <c r="R14" s="114"/>
    </row>
    <row r="15" spans="1:18" ht="20.100000000000001" customHeight="1" thickBot="1" x14ac:dyDescent="0.3">
      <c r="A15" s="114"/>
      <c r="B15" s="114"/>
      <c r="C15" s="114"/>
      <c r="D15" s="114"/>
      <c r="E15" s="150"/>
      <c r="F15" s="149"/>
      <c r="G15" s="149"/>
      <c r="H15" s="157"/>
      <c r="I15" s="276"/>
      <c r="J15" s="136" t="str">
        <f>IF(ISBLANK(J16),"",IFERROR(_xlfn.XLOOKUP(J16,'List of Teams'!$B$2:$B$65,'List of Teams'!$C$2:$C$65),""))</f>
        <v>team 25</v>
      </c>
      <c r="K15" s="137"/>
      <c r="L15" s="149"/>
      <c r="M15" s="149"/>
      <c r="N15" s="149"/>
      <c r="O15" s="149"/>
      <c r="P15" s="133"/>
      <c r="Q15" s="114"/>
      <c r="R15" s="114"/>
    </row>
    <row r="16" spans="1:18" ht="20.100000000000001" customHeight="1" thickTop="1" x14ac:dyDescent="0.25">
      <c r="A16" s="114"/>
      <c r="B16" s="114"/>
      <c r="C16" s="114"/>
      <c r="D16" s="114"/>
      <c r="E16" s="150"/>
      <c r="F16" s="159" t="s">
        <v>53</v>
      </c>
      <c r="G16" s="149"/>
      <c r="H16" s="149"/>
      <c r="I16" s="273">
        <v>9</v>
      </c>
      <c r="J16" s="117" t="s">
        <v>161</v>
      </c>
      <c r="K16" s="138"/>
      <c r="L16" s="149"/>
      <c r="M16" s="149"/>
      <c r="N16" s="159" t="s">
        <v>34</v>
      </c>
      <c r="O16" s="149"/>
      <c r="P16" s="133"/>
      <c r="Q16" s="114"/>
      <c r="R16" s="114"/>
    </row>
    <row r="17" spans="1:18" ht="20.100000000000001" customHeight="1" thickBot="1" x14ac:dyDescent="0.4">
      <c r="A17" s="114"/>
      <c r="B17" s="114"/>
      <c r="C17" s="178"/>
      <c r="D17" s="179" t="str">
        <f>IF(F26="Bye",F9,IF(OR(ISBLANK(F9),ISBLANK(F26)),"",IF(OR(ISBLANK(E9),ISBLANK(E26)),"",IF(E9&gt;E26,F9,F26))))</f>
        <v/>
      </c>
      <c r="E17" s="150"/>
      <c r="F17" s="161" t="s">
        <v>32</v>
      </c>
      <c r="G17" s="149"/>
      <c r="H17" s="149"/>
      <c r="I17" s="149"/>
      <c r="J17" s="149"/>
      <c r="K17" s="149"/>
      <c r="L17" s="149"/>
      <c r="M17" s="149"/>
      <c r="N17" s="161" t="s">
        <v>32</v>
      </c>
      <c r="O17" s="149"/>
      <c r="P17" s="180" t="str">
        <f>IF(N26="Bye",N9,IF(OR(ISBLANK(N9),ISBLANK(N26)),"",IF(OR(ISBLANK(O9),ISBLANK(O26)),"",IF(O9&gt;O26,N9,N26))))</f>
        <v/>
      </c>
      <c r="Q17" s="178"/>
      <c r="R17" s="114"/>
    </row>
    <row r="18" spans="1:18" ht="20.100000000000001" customHeight="1" thickTop="1" x14ac:dyDescent="0.25">
      <c r="A18" s="114"/>
      <c r="B18" s="114"/>
      <c r="C18" s="181"/>
      <c r="D18" s="182" t="str">
        <f>IF(D17="","",IF(E9&gt;E26,E9&amp;"-"&amp;E26,E26&amp;"-"&amp;E9))</f>
        <v/>
      </c>
      <c r="E18" s="150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83" t="str">
        <f>IF(P17="","",IF(O9&gt;O26,O9&amp;"-"&amp;O26,O26&amp;"-"&amp;O9))</f>
        <v/>
      </c>
      <c r="Q18" s="184"/>
      <c r="R18" s="133"/>
    </row>
    <row r="19" spans="1:18" ht="20.100000000000001" customHeight="1" thickBot="1" x14ac:dyDescent="0.3">
      <c r="A19" s="114"/>
      <c r="B19" s="114"/>
      <c r="C19" s="185"/>
      <c r="D19" s="184"/>
      <c r="E19" s="150"/>
      <c r="F19" s="149"/>
      <c r="G19" s="149"/>
      <c r="H19" s="149"/>
      <c r="I19" s="273">
        <v>5</v>
      </c>
      <c r="J19" s="117" t="s">
        <v>157</v>
      </c>
      <c r="K19" s="118"/>
      <c r="L19" s="149"/>
      <c r="M19" s="149"/>
      <c r="N19" s="149"/>
      <c r="O19" s="149"/>
      <c r="P19" s="185"/>
      <c r="Q19" s="184"/>
      <c r="R19" s="133"/>
    </row>
    <row r="20" spans="1:18" ht="20.100000000000001" customHeight="1" thickTop="1" x14ac:dyDescent="0.25">
      <c r="A20" s="114"/>
      <c r="B20" s="114"/>
      <c r="C20" s="185"/>
      <c r="D20" s="184"/>
      <c r="E20" s="150"/>
      <c r="F20" s="149"/>
      <c r="G20" s="149"/>
      <c r="H20" s="157"/>
      <c r="I20" s="274"/>
      <c r="J20" s="120" t="str">
        <f>IF(ISBLANK(J19),"",IFERROR(_xlfn.XLOOKUP(J19,'List of Teams'!$B$2:$B$65,'List of Teams'!$C$2:$C$65),""))</f>
        <v>team 21</v>
      </c>
      <c r="K20" s="121"/>
      <c r="L20" s="149"/>
      <c r="M20" s="149"/>
      <c r="N20" s="149"/>
      <c r="O20" s="149"/>
      <c r="P20" s="185"/>
      <c r="Q20" s="184"/>
      <c r="R20" s="133"/>
    </row>
    <row r="21" spans="1:18" ht="20.100000000000001" customHeight="1" thickBot="1" x14ac:dyDescent="0.3">
      <c r="A21" s="114"/>
      <c r="B21" s="114"/>
      <c r="C21" s="185"/>
      <c r="D21" s="184"/>
      <c r="E21" s="150"/>
      <c r="F21" s="149"/>
      <c r="G21" s="127"/>
      <c r="H21" s="123" t="str">
        <f>IF(J24="Bye",J24,IF(OR(ISBLANK(J19),ISBLANK(J24)),"",IF(OR(ISBLANK(K19),ISBLANK(K24)),"",IF(K19&lt;K24,J19,J24))))</f>
        <v>Bye</v>
      </c>
      <c r="I21" s="275"/>
      <c r="J21" s="124" t="s">
        <v>42</v>
      </c>
      <c r="K21" s="125"/>
      <c r="L21" s="126" t="str">
        <f>IF(J24="Bye",J19,IF(OR(ISBLANK(J19),ISBLANK(J24)),"",IF(OR(ISBLANK(K19),ISBLANK(K24)),"",IF(K19&gt;K24,J19,J24))))</f>
        <v>University of team 21</v>
      </c>
      <c r="M21" s="127"/>
      <c r="N21" s="149"/>
      <c r="O21" s="149"/>
      <c r="P21" s="185"/>
      <c r="Q21" s="184"/>
      <c r="R21" s="133"/>
    </row>
    <row r="22" spans="1:18" ht="20.100000000000001" customHeight="1" thickTop="1" x14ac:dyDescent="0.35">
      <c r="A22" s="114"/>
      <c r="B22" s="114"/>
      <c r="C22" s="185"/>
      <c r="D22" s="184"/>
      <c r="E22" s="150"/>
      <c r="F22" s="149"/>
      <c r="G22" s="128"/>
      <c r="H22" s="129" t="str">
        <f>IF(H21="","",IF(K19&lt;K24,K19&amp;"-"&amp;K24,K24&amp;"-"&amp;K19))</f>
        <v>-</v>
      </c>
      <c r="I22" s="273"/>
      <c r="J22" s="130" t="s">
        <v>32</v>
      </c>
      <c r="K22" s="125"/>
      <c r="L22" s="131" t="str">
        <f>IF(L21="","",IF(K19&gt;K24,K19&amp;"-"&amp;K24,K24&amp;"-"&amp;K19))</f>
        <v>-</v>
      </c>
      <c r="M22" s="132"/>
      <c r="N22" s="150"/>
      <c r="O22" s="149"/>
      <c r="P22" s="185"/>
      <c r="Q22" s="184"/>
      <c r="R22" s="133"/>
    </row>
    <row r="23" spans="1:18" ht="20.100000000000001" customHeight="1" thickBot="1" x14ac:dyDescent="0.3">
      <c r="A23" s="114"/>
      <c r="B23" s="114"/>
      <c r="C23" s="185"/>
      <c r="D23" s="184"/>
      <c r="E23" s="150"/>
      <c r="F23" s="149"/>
      <c r="G23" s="134"/>
      <c r="H23" s="135"/>
      <c r="I23" s="276"/>
      <c r="J23" s="136" t="str">
        <f>IF(ISBLANK(J24),"",IFERROR(_xlfn.XLOOKUP(J24,'List of Teams'!$B$2:$B$65,'List of Teams'!$C$2:$C$65),""))</f>
        <v/>
      </c>
      <c r="K23" s="137"/>
      <c r="L23" s="132"/>
      <c r="M23" s="132"/>
      <c r="N23" s="150"/>
      <c r="O23" s="149"/>
      <c r="P23" s="185"/>
      <c r="Q23" s="184"/>
      <c r="R23" s="133"/>
    </row>
    <row r="24" spans="1:18" ht="20.100000000000001" customHeight="1" thickTop="1" x14ac:dyDescent="0.25">
      <c r="A24" s="114"/>
      <c r="B24" s="114"/>
      <c r="C24" s="185"/>
      <c r="D24" s="184"/>
      <c r="E24" s="150"/>
      <c r="F24" s="149"/>
      <c r="G24" s="134"/>
      <c r="H24" s="132"/>
      <c r="I24" s="273">
        <v>12</v>
      </c>
      <c r="J24" s="117" t="s">
        <v>222</v>
      </c>
      <c r="K24" s="138"/>
      <c r="L24" s="132"/>
      <c r="M24" s="132"/>
      <c r="N24" s="150"/>
      <c r="O24" s="149"/>
      <c r="P24" s="185"/>
      <c r="Q24" s="184"/>
      <c r="R24" s="133"/>
    </row>
    <row r="25" spans="1:18" ht="20.100000000000001" customHeight="1" thickBot="1" x14ac:dyDescent="0.3">
      <c r="A25" s="114"/>
      <c r="B25" s="114"/>
      <c r="C25" s="185"/>
      <c r="D25" s="184"/>
      <c r="E25" s="163"/>
      <c r="F25" s="164" t="str">
        <f>IF(F26="","",IF(G21&gt;G30,G21&amp;"-"&amp;G30,G30&amp;"-"&amp;G21))</f>
        <v>-</v>
      </c>
      <c r="G25" s="134"/>
      <c r="H25" s="141" t="s">
        <v>52</v>
      </c>
      <c r="I25" s="142"/>
      <c r="J25" s="132"/>
      <c r="K25" s="132"/>
      <c r="L25" s="141" t="s">
        <v>37</v>
      </c>
      <c r="M25" s="132"/>
      <c r="N25" s="165" t="str">
        <f>IF(N26="","",IF(M21&gt;M30,M21&amp;"-"&amp;M30,M30&amp;"-"&amp;M21))</f>
        <v/>
      </c>
      <c r="O25" s="166"/>
      <c r="P25" s="185"/>
      <c r="Q25" s="184"/>
      <c r="R25" s="133"/>
    </row>
    <row r="26" spans="1:18" ht="20.100000000000001" customHeight="1" thickTop="1" x14ac:dyDescent="0.35">
      <c r="A26" s="114"/>
      <c r="B26" s="114"/>
      <c r="C26" s="185"/>
      <c r="D26" s="184"/>
      <c r="E26" s="167"/>
      <c r="F26" s="168" t="str">
        <f>IF(H30="Bye",H21,IF(OR(ISBLANK(H21),ISBLANK(H30)),"",IF(OR(ISBLANK(G21),ISBLANK(G30)),"",IF(G21&gt;G30,H21,H30))))</f>
        <v>Bye</v>
      </c>
      <c r="G26" s="134"/>
      <c r="H26" s="147" t="s">
        <v>32</v>
      </c>
      <c r="I26" s="142"/>
      <c r="J26" s="132"/>
      <c r="K26" s="132"/>
      <c r="L26" s="147" t="s">
        <v>32</v>
      </c>
      <c r="M26" s="132"/>
      <c r="N26" s="169" t="str">
        <f>IF(L30="Bye",L21,IF(OR(ISBLANK(L21),ISBLANK(L30)),"",IF(OR(ISBLANK(M21),ISBLANK(M30)),"",IF(M21&gt;M30,L21,L30))))</f>
        <v/>
      </c>
      <c r="O26" s="167"/>
      <c r="P26" s="184"/>
      <c r="Q26" s="184"/>
      <c r="R26" s="133"/>
    </row>
    <row r="27" spans="1:18" ht="20.100000000000001" customHeight="1" thickBot="1" x14ac:dyDescent="0.3">
      <c r="A27" s="114"/>
      <c r="B27" s="114"/>
      <c r="C27" s="185"/>
      <c r="D27" s="184"/>
      <c r="E27" s="184"/>
      <c r="F27" s="184"/>
      <c r="G27" s="134"/>
      <c r="H27" s="132"/>
      <c r="I27" s="273">
        <v>4</v>
      </c>
      <c r="J27" s="117" t="s">
        <v>154</v>
      </c>
      <c r="K27" s="118"/>
      <c r="L27" s="132"/>
      <c r="M27" s="132"/>
      <c r="N27" s="185"/>
      <c r="O27" s="184"/>
      <c r="P27" s="184"/>
      <c r="Q27" s="184"/>
      <c r="R27" s="133"/>
    </row>
    <row r="28" spans="1:18" ht="20.100000000000001" customHeight="1" thickTop="1" x14ac:dyDescent="0.25">
      <c r="A28" s="114"/>
      <c r="B28" s="114"/>
      <c r="C28" s="185"/>
      <c r="D28" s="184"/>
      <c r="E28" s="184"/>
      <c r="F28" s="184"/>
      <c r="G28" s="134"/>
      <c r="H28" s="135"/>
      <c r="I28" s="274"/>
      <c r="J28" s="120" t="str">
        <f>IF(ISBLANK(J27),"",IFERROR(_xlfn.XLOOKUP(J27,'List of Teams'!$B$2:$B$65,'List of Teams'!$C$2:$C$65),""))</f>
        <v>team 18</v>
      </c>
      <c r="K28" s="121"/>
      <c r="L28" s="132"/>
      <c r="M28" s="132"/>
      <c r="N28" s="185"/>
      <c r="O28" s="184"/>
      <c r="P28" s="184"/>
      <c r="Q28" s="184"/>
      <c r="R28" s="133"/>
    </row>
    <row r="29" spans="1:18" ht="20.100000000000001" customHeight="1" thickBot="1" x14ac:dyDescent="0.3">
      <c r="A29" s="114"/>
      <c r="B29" s="114"/>
      <c r="C29" s="185"/>
      <c r="D29" s="184"/>
      <c r="E29" s="184"/>
      <c r="F29" s="184"/>
      <c r="G29" s="151"/>
      <c r="H29" s="152" t="str">
        <f>IF(H30="","",IF(K27&lt;K32,K27&amp;"-"&amp;K32,K32&amp;"-"&amp;K27))</f>
        <v>-</v>
      </c>
      <c r="I29" s="273"/>
      <c r="J29" s="124" t="s">
        <v>43</v>
      </c>
      <c r="K29" s="125"/>
      <c r="L29" s="131" t="str">
        <f>IF(L30="","",IF(K27&gt;K32,K27&amp;"-"&amp;K32,K32&amp;"-"&amp;K27))</f>
        <v>-</v>
      </c>
      <c r="M29" s="153"/>
      <c r="N29" s="185"/>
      <c r="O29" s="184"/>
      <c r="P29" s="184"/>
      <c r="Q29" s="184"/>
      <c r="R29" s="133"/>
    </row>
    <row r="30" spans="1:18" ht="20.100000000000001" customHeight="1" thickTop="1" x14ac:dyDescent="0.35">
      <c r="A30" s="114"/>
      <c r="B30" s="114"/>
      <c r="C30" s="185"/>
      <c r="D30" s="184"/>
      <c r="E30" s="184"/>
      <c r="F30" s="184"/>
      <c r="G30" s="154"/>
      <c r="H30" s="155" t="str">
        <f>IF(J32="Bye",J32,IF(OR(ISBLANK(J27),ISBLANK(J32)),"",IF(OR(ISBLANK(K27),ISBLANK(K32)),"",IF(K27&lt;K32,J27,J32))))</f>
        <v>Bye</v>
      </c>
      <c r="I30" s="275"/>
      <c r="J30" s="130" t="s">
        <v>32</v>
      </c>
      <c r="K30" s="125"/>
      <c r="L30" s="156" t="str">
        <f>IF(J32="Bye",J27,IF(OR(ISBLANK(J27),ISBLANK(J32)),"",IF(OR(ISBLANK(K27),ISBLANK(K32)),"",IF(K27&gt;K32,J27,J32))))</f>
        <v>University of team 18</v>
      </c>
      <c r="M30" s="154"/>
      <c r="N30" s="184"/>
      <c r="O30" s="184"/>
      <c r="P30" s="184"/>
      <c r="Q30" s="184"/>
      <c r="R30" s="133"/>
    </row>
    <row r="31" spans="1:18" ht="20.100000000000001" customHeight="1" thickBot="1" x14ac:dyDescent="0.3">
      <c r="A31" s="114"/>
      <c r="B31" s="114"/>
      <c r="C31" s="185"/>
      <c r="D31" s="184"/>
      <c r="E31" s="184"/>
      <c r="F31" s="184"/>
      <c r="G31" s="184"/>
      <c r="H31" s="186"/>
      <c r="I31" s="276"/>
      <c r="J31" s="136" t="str">
        <f>IF(ISBLANK(J32),"",IFERROR(_xlfn.XLOOKUP(J32,'List of Teams'!$B$2:$B$65,'List of Teams'!$C$2:$C$65),""))</f>
        <v/>
      </c>
      <c r="K31" s="137"/>
      <c r="L31" s="184"/>
      <c r="M31" s="184"/>
      <c r="N31" s="184"/>
      <c r="O31" s="184"/>
      <c r="P31" s="184"/>
      <c r="Q31" s="184"/>
      <c r="R31" s="133"/>
    </row>
    <row r="32" spans="1:18" ht="20.100000000000001" customHeight="1" thickTop="1" x14ac:dyDescent="0.25">
      <c r="A32" s="114"/>
      <c r="B32" s="114"/>
      <c r="C32" s="185"/>
      <c r="D32" s="184"/>
      <c r="E32" s="184"/>
      <c r="F32" s="184"/>
      <c r="G32" s="184"/>
      <c r="H32" s="184"/>
      <c r="I32" s="273">
        <v>13</v>
      </c>
      <c r="J32" s="117" t="s">
        <v>222</v>
      </c>
      <c r="K32" s="138"/>
      <c r="L32" s="184"/>
      <c r="M32" s="184"/>
      <c r="N32" s="184"/>
      <c r="O32" s="184"/>
      <c r="P32" s="184"/>
      <c r="Q32" s="184"/>
      <c r="R32" s="133"/>
    </row>
    <row r="33" spans="1:18" ht="20.100000000000001" customHeight="1" thickBot="1" x14ac:dyDescent="0.3">
      <c r="A33" s="114"/>
      <c r="B33" s="179" t="str">
        <f>IF(D50="Bye",D17,IF(OR(ISBLANK(D17),ISBLANK(D50)),"",IF(OR(ISBLANK(C17),ISBLANK(C50)),"",IF(C17&gt;C50,D17,D50))))</f>
        <v/>
      </c>
      <c r="C33" s="185"/>
      <c r="D33" s="187" t="s">
        <v>55</v>
      </c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7" t="s">
        <v>33</v>
      </c>
      <c r="Q33" s="184"/>
      <c r="R33" s="180" t="str">
        <f>IF(P50="Bye",P17,IF(OR(ISBLANK(P17),ISBLANK(P50)),"",IF(OR(ISBLANK(Q17),ISBLANK(Q50)),"",IF(Q17&gt;Q50,P17,P50))))</f>
        <v/>
      </c>
    </row>
    <row r="34" spans="1:18" ht="20.100000000000001" customHeight="1" thickTop="1" x14ac:dyDescent="0.35">
      <c r="A34" s="114"/>
      <c r="B34" s="160" t="str">
        <f>IF(B33="","",IF(C17&gt;C50,C17&amp;"-"&amp;C50,C50&amp;"-"&amp;C17))</f>
        <v/>
      </c>
      <c r="C34" s="185"/>
      <c r="D34" s="188" t="s">
        <v>32</v>
      </c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8" t="s">
        <v>32</v>
      </c>
      <c r="Q34" s="184"/>
      <c r="R34" s="162" t="str">
        <f>IF(R33="","",IF(Q17&gt;Q50,Q17&amp;"-"&amp;Q50,Q50&amp;"-"&amp;Q17))</f>
        <v/>
      </c>
    </row>
    <row r="35" spans="1:18" ht="20.100000000000001" customHeight="1" thickBot="1" x14ac:dyDescent="0.3">
      <c r="A35" s="114"/>
      <c r="B35" s="114"/>
      <c r="C35" s="185"/>
      <c r="D35" s="184"/>
      <c r="E35" s="184"/>
      <c r="F35" s="184"/>
      <c r="G35" s="184"/>
      <c r="H35" s="184"/>
      <c r="I35" s="273">
        <v>3</v>
      </c>
      <c r="J35" s="117" t="s">
        <v>137</v>
      </c>
      <c r="K35" s="118"/>
      <c r="L35" s="184"/>
      <c r="M35" s="184"/>
      <c r="N35" s="184"/>
      <c r="O35" s="184"/>
      <c r="P35" s="184"/>
      <c r="Q35" s="184"/>
      <c r="R35" s="133"/>
    </row>
    <row r="36" spans="1:18" ht="20.100000000000001" customHeight="1" thickTop="1" x14ac:dyDescent="0.25">
      <c r="A36" s="114"/>
      <c r="B36" s="114"/>
      <c r="C36" s="185"/>
      <c r="D36" s="184"/>
      <c r="E36" s="184"/>
      <c r="F36" s="184"/>
      <c r="G36" s="184"/>
      <c r="H36" s="186"/>
      <c r="I36" s="274"/>
      <c r="J36" s="120" t="str">
        <f>IF(ISBLANK(J35),"",IFERROR(_xlfn.XLOOKUP(J35,'List of Teams'!$B$2:$B$65,'List of Teams'!$C$2:$C$65),""))</f>
        <v>team 1</v>
      </c>
      <c r="K36" s="121"/>
      <c r="L36" s="184"/>
      <c r="M36" s="184"/>
      <c r="N36" s="184"/>
      <c r="O36" s="184"/>
      <c r="P36" s="184"/>
      <c r="Q36" s="184"/>
      <c r="R36" s="133"/>
    </row>
    <row r="37" spans="1:18" ht="20.100000000000001" customHeight="1" thickBot="1" x14ac:dyDescent="0.3">
      <c r="A37" s="114"/>
      <c r="B37" s="114"/>
      <c r="C37" s="185"/>
      <c r="D37" s="184"/>
      <c r="E37" s="184"/>
      <c r="F37" s="184"/>
      <c r="G37" s="127"/>
      <c r="H37" s="123" t="str">
        <f>IF(J40="Bye",J40,IF(OR(ISBLANK(J35),ISBLANK(J40)),"",IF(OR(ISBLANK(K35),ISBLANK(K40)),"",IF(K35&lt;K40,J35,J40))))</f>
        <v>Bye</v>
      </c>
      <c r="I37" s="275"/>
      <c r="J37" s="124" t="s">
        <v>44</v>
      </c>
      <c r="K37" s="125"/>
      <c r="L37" s="126" t="str">
        <f>IF(J40="Bye",J35,IF(OR(ISBLANK(J35),ISBLANK(J40)),"",IF(OR(ISBLANK(K35),ISBLANK(K40)),"",IF(K35&gt;K40,J35,J40))))</f>
        <v>University of team 1</v>
      </c>
      <c r="M37" s="127"/>
      <c r="N37" s="184"/>
      <c r="O37" s="184"/>
      <c r="P37" s="184"/>
      <c r="Q37" s="184"/>
      <c r="R37" s="133"/>
    </row>
    <row r="38" spans="1:18" ht="20.100000000000001" customHeight="1" thickTop="1" x14ac:dyDescent="0.35">
      <c r="A38" s="114"/>
      <c r="B38" s="114"/>
      <c r="C38" s="185"/>
      <c r="D38" s="184"/>
      <c r="E38" s="184"/>
      <c r="F38" s="184"/>
      <c r="G38" s="128"/>
      <c r="H38" s="129" t="str">
        <f>IF(H37="","",IF(K35&lt;K40,K35&amp;"-"&amp;K40,K40&amp;"-"&amp;K35))</f>
        <v>-</v>
      </c>
      <c r="I38" s="277"/>
      <c r="J38" s="130" t="s">
        <v>32</v>
      </c>
      <c r="K38" s="125"/>
      <c r="L38" s="131" t="str">
        <f>IF(L37="","",IF(K35&gt;K40,K35&amp;"-"&amp;K40,K40&amp;"-"&amp;K35))</f>
        <v>-</v>
      </c>
      <c r="M38" s="132"/>
      <c r="N38" s="185"/>
      <c r="O38" s="184"/>
      <c r="P38" s="184"/>
      <c r="Q38" s="184"/>
      <c r="R38" s="133"/>
    </row>
    <row r="39" spans="1:18" ht="20.100000000000001" customHeight="1" thickBot="1" x14ac:dyDescent="0.3">
      <c r="A39" s="114"/>
      <c r="B39" s="114"/>
      <c r="C39" s="185"/>
      <c r="D39" s="184"/>
      <c r="E39" s="184"/>
      <c r="F39" s="184"/>
      <c r="G39" s="134"/>
      <c r="H39" s="135"/>
      <c r="I39" s="276"/>
      <c r="J39" s="136" t="str">
        <f>IF(ISBLANK(J40),"",IFERROR(_xlfn.XLOOKUP(J40,'List of Teams'!$B$2:$B$65,'List of Teams'!$C$2:$C$65),""))</f>
        <v/>
      </c>
      <c r="K39" s="137"/>
      <c r="L39" s="132"/>
      <c r="M39" s="132"/>
      <c r="N39" s="185"/>
      <c r="O39" s="184"/>
      <c r="P39" s="184"/>
      <c r="Q39" s="184"/>
      <c r="R39" s="133"/>
    </row>
    <row r="40" spans="1:18" ht="20.100000000000001" customHeight="1" thickTop="1" x14ac:dyDescent="0.25">
      <c r="A40" s="114"/>
      <c r="B40" s="114"/>
      <c r="C40" s="185"/>
      <c r="D40" s="184"/>
      <c r="E40" s="184"/>
      <c r="F40" s="184"/>
      <c r="G40" s="134"/>
      <c r="H40" s="132"/>
      <c r="I40" s="273">
        <v>14</v>
      </c>
      <c r="J40" s="117" t="s">
        <v>222</v>
      </c>
      <c r="K40" s="138"/>
      <c r="L40" s="132"/>
      <c r="M40" s="132"/>
      <c r="N40" s="185"/>
      <c r="O40" s="184"/>
      <c r="P40" s="184"/>
      <c r="Q40" s="184"/>
      <c r="R40" s="133"/>
    </row>
    <row r="41" spans="1:18" ht="20.100000000000001" customHeight="1" thickBot="1" x14ac:dyDescent="0.3">
      <c r="A41" s="114"/>
      <c r="B41" s="114"/>
      <c r="C41" s="185"/>
      <c r="D41" s="184"/>
      <c r="E41" s="144"/>
      <c r="F41" s="140" t="str">
        <f>IF(H46="Bye",H37,IF(OR(ISBLANK(H37),ISBLANK(H46)),"",IF(OR(ISBLANK(G37),ISBLANK(G46)),"",IF(G37&gt;G46,H37,H46))))</f>
        <v>Bye</v>
      </c>
      <c r="G41" s="134"/>
      <c r="H41" s="141" t="s">
        <v>51</v>
      </c>
      <c r="I41" s="142"/>
      <c r="J41" s="132"/>
      <c r="K41" s="132"/>
      <c r="L41" s="141" t="s">
        <v>38</v>
      </c>
      <c r="M41" s="132"/>
      <c r="N41" s="143" t="str">
        <f>IF(L46="Bye",L37,IF(OR(ISBLANK(L37),ISBLANK(L46)),"",IF(OR(ISBLANK(M37),ISBLANK(M46)),"",IF(M37&gt;M46,L37,L46))))</f>
        <v/>
      </c>
      <c r="O41" s="144"/>
      <c r="P41" s="184"/>
      <c r="Q41" s="184"/>
      <c r="R41" s="133"/>
    </row>
    <row r="42" spans="1:18" ht="20.100000000000001" customHeight="1" thickTop="1" x14ac:dyDescent="0.35">
      <c r="A42" s="114"/>
      <c r="B42" s="114"/>
      <c r="C42" s="185"/>
      <c r="D42" s="184"/>
      <c r="E42" s="145"/>
      <c r="F42" s="146" t="str">
        <f>IF(F41="","",IF(G37&gt;G46,G37&amp;"-"&amp;G46,G46&amp;"-"&amp;G37))</f>
        <v>-</v>
      </c>
      <c r="G42" s="134"/>
      <c r="H42" s="147" t="s">
        <v>32</v>
      </c>
      <c r="I42" s="142"/>
      <c r="J42" s="132"/>
      <c r="K42" s="132"/>
      <c r="L42" s="147" t="s">
        <v>32</v>
      </c>
      <c r="M42" s="132"/>
      <c r="N42" s="148" t="str">
        <f>IF(N41="","",IF(M37&gt;M46,M37&amp;"-"&amp;M46,M46&amp;"-"&amp;M37))</f>
        <v/>
      </c>
      <c r="O42" s="149"/>
      <c r="P42" s="185"/>
      <c r="Q42" s="184"/>
      <c r="R42" s="133"/>
    </row>
    <row r="43" spans="1:18" ht="20.100000000000001" customHeight="1" thickBot="1" x14ac:dyDescent="0.3">
      <c r="A43" s="114"/>
      <c r="B43" s="114"/>
      <c r="C43" s="185"/>
      <c r="D43" s="184"/>
      <c r="E43" s="150"/>
      <c r="F43" s="149"/>
      <c r="G43" s="134"/>
      <c r="H43" s="132"/>
      <c r="I43" s="273">
        <v>6</v>
      </c>
      <c r="J43" s="117" t="s">
        <v>159</v>
      </c>
      <c r="K43" s="118"/>
      <c r="L43" s="132"/>
      <c r="M43" s="132"/>
      <c r="N43" s="150"/>
      <c r="O43" s="149"/>
      <c r="P43" s="185"/>
      <c r="Q43" s="184"/>
      <c r="R43" s="133"/>
    </row>
    <row r="44" spans="1:18" ht="20.100000000000001" customHeight="1" thickTop="1" x14ac:dyDescent="0.25">
      <c r="A44" s="114"/>
      <c r="B44" s="114"/>
      <c r="C44" s="185"/>
      <c r="D44" s="184"/>
      <c r="E44" s="150"/>
      <c r="F44" s="149"/>
      <c r="G44" s="134"/>
      <c r="H44" s="135"/>
      <c r="I44" s="274"/>
      <c r="J44" s="120" t="str">
        <f>IF(ISBLANK(J43),"",IFERROR(_xlfn.XLOOKUP(J43,'List of Teams'!$B$2:$B$65,'List of Teams'!$C$2:$C$65),""))</f>
        <v>team 23</v>
      </c>
      <c r="K44" s="121"/>
      <c r="L44" s="132"/>
      <c r="M44" s="132"/>
      <c r="N44" s="150"/>
      <c r="O44" s="149"/>
      <c r="P44" s="185"/>
      <c r="Q44" s="184"/>
      <c r="R44" s="133"/>
    </row>
    <row r="45" spans="1:18" ht="20.100000000000001" customHeight="1" thickBot="1" x14ac:dyDescent="0.3">
      <c r="A45" s="114"/>
      <c r="B45" s="114"/>
      <c r="C45" s="185"/>
      <c r="D45" s="184"/>
      <c r="E45" s="150"/>
      <c r="F45" s="149"/>
      <c r="G45" s="151"/>
      <c r="H45" s="152" t="str">
        <f>IF(H46="","",IF(K43&lt;K48,K43&amp;"-"&amp;K48,K48&amp;"-"&amp;K43))</f>
        <v>-</v>
      </c>
      <c r="I45" s="273"/>
      <c r="J45" s="124" t="s">
        <v>45</v>
      </c>
      <c r="K45" s="125"/>
      <c r="L45" s="131" t="str">
        <f>IF(L46="","",IF(K43&gt;K48,K43&amp;"-"&amp;K48,K48&amp;"-"&amp;K43))</f>
        <v>-</v>
      </c>
      <c r="M45" s="153"/>
      <c r="N45" s="150"/>
      <c r="O45" s="149"/>
      <c r="P45" s="185"/>
      <c r="Q45" s="184"/>
      <c r="R45" s="133"/>
    </row>
    <row r="46" spans="1:18" ht="20.100000000000001" customHeight="1" thickTop="1" x14ac:dyDescent="0.35">
      <c r="A46" s="114"/>
      <c r="B46" s="114"/>
      <c r="C46" s="185"/>
      <c r="D46" s="184"/>
      <c r="E46" s="150"/>
      <c r="F46" s="149"/>
      <c r="G46" s="154"/>
      <c r="H46" s="155" t="str">
        <f>IF(J48="Bye",J48,IF(OR(ISBLANK(J43),ISBLANK(J48)),"",IF(OR(ISBLANK(K43),ISBLANK(K48)),"",IF(K43&lt;K48,J43,J48))))</f>
        <v>Bye</v>
      </c>
      <c r="I46" s="275"/>
      <c r="J46" s="130" t="s">
        <v>32</v>
      </c>
      <c r="K46" s="125"/>
      <c r="L46" s="156" t="str">
        <f>IF(J48="Bye",J43,IF(OR(ISBLANK(J43),ISBLANK(J48)),"",IF(OR(ISBLANK(K43),ISBLANK(K48)),"",IF(K43&gt;K48,J43,J48))))</f>
        <v>University of team 23</v>
      </c>
      <c r="M46" s="154"/>
      <c r="N46" s="149"/>
      <c r="O46" s="149"/>
      <c r="P46" s="185"/>
      <c r="Q46" s="184"/>
      <c r="R46" s="133"/>
    </row>
    <row r="47" spans="1:18" ht="20.100000000000001" customHeight="1" thickBot="1" x14ac:dyDescent="0.3">
      <c r="A47" s="114"/>
      <c r="B47" s="114"/>
      <c r="C47" s="185"/>
      <c r="D47" s="184"/>
      <c r="E47" s="150"/>
      <c r="F47" s="149"/>
      <c r="G47" s="149"/>
      <c r="H47" s="157"/>
      <c r="I47" s="276"/>
      <c r="J47" s="136" t="str">
        <f>IF(ISBLANK(J48),"",IFERROR(_xlfn.XLOOKUP(J48,'List of Teams'!$B$2:$B$65,'List of Teams'!$C$2:$C$65),""))</f>
        <v/>
      </c>
      <c r="K47" s="137"/>
      <c r="L47" s="149"/>
      <c r="M47" s="149"/>
      <c r="N47" s="149"/>
      <c r="O47" s="149"/>
      <c r="P47" s="185"/>
      <c r="Q47" s="184"/>
      <c r="R47" s="133"/>
    </row>
    <row r="48" spans="1:18" ht="20.100000000000001" customHeight="1" thickTop="1" x14ac:dyDescent="0.25">
      <c r="A48" s="114"/>
      <c r="B48" s="114"/>
      <c r="C48" s="185"/>
      <c r="D48" s="184"/>
      <c r="E48" s="150"/>
      <c r="F48" s="149"/>
      <c r="G48" s="149"/>
      <c r="H48" s="149"/>
      <c r="I48" s="273">
        <v>11</v>
      </c>
      <c r="J48" s="117" t="s">
        <v>222</v>
      </c>
      <c r="K48" s="138"/>
      <c r="L48" s="149"/>
      <c r="M48" s="149"/>
      <c r="N48" s="149"/>
      <c r="O48" s="149"/>
      <c r="P48" s="185"/>
      <c r="Q48" s="184"/>
      <c r="R48" s="133"/>
    </row>
    <row r="49" spans="1:18" ht="20.100000000000001" customHeight="1" thickBot="1" x14ac:dyDescent="0.3">
      <c r="A49" s="114"/>
      <c r="B49" s="114"/>
      <c r="C49" s="189"/>
      <c r="D49" s="190" t="str">
        <f>IF(D50="","",IF(E41&gt;E58,E41&amp;"-"&amp;E58,E58&amp;"-"&amp;E41))</f>
        <v/>
      </c>
      <c r="E49" s="150"/>
      <c r="F49" s="159" t="s">
        <v>54</v>
      </c>
      <c r="G49" s="149"/>
      <c r="H49" s="149"/>
      <c r="I49" s="149"/>
      <c r="J49" s="149"/>
      <c r="K49" s="149"/>
      <c r="L49" s="149"/>
      <c r="M49" s="149"/>
      <c r="N49" s="159" t="s">
        <v>35</v>
      </c>
      <c r="O49" s="149"/>
      <c r="P49" s="191" t="str">
        <f>IF(P50="","",IF(O41&gt;O58,O41&amp;"-"&amp;O58,O58&amp;"-"&amp;O41))</f>
        <v/>
      </c>
      <c r="Q49" s="192"/>
      <c r="R49" s="133"/>
    </row>
    <row r="50" spans="1:18" ht="20.100000000000001" customHeight="1" thickTop="1" x14ac:dyDescent="0.35">
      <c r="A50" s="114"/>
      <c r="B50" s="114"/>
      <c r="C50" s="193"/>
      <c r="D50" s="194" t="str">
        <f>IF(F58="Bye",F41,IF(OR(ISBLANK(F41),ISBLANK(F58)),"",IF(OR(ISBLANK(E41),ISBLANK(E58)),"",IF(E41&gt;E58,F41,F58))))</f>
        <v/>
      </c>
      <c r="E50" s="150"/>
      <c r="F50" s="161" t="s">
        <v>32</v>
      </c>
      <c r="G50" s="149"/>
      <c r="H50" s="149"/>
      <c r="I50" s="149"/>
      <c r="J50" s="149"/>
      <c r="K50" s="149"/>
      <c r="L50" s="149"/>
      <c r="M50" s="149"/>
      <c r="N50" s="161" t="s">
        <v>32</v>
      </c>
      <c r="O50" s="149"/>
      <c r="P50" s="195" t="str">
        <f>IF(N58="Bye",N41,IF(OR(ISBLANK(N41),ISBLANK(N58)),"",IF(OR(ISBLANK(O41),ISBLANK(O58)),"",IF(O41&gt;O58,N41,N58))))</f>
        <v/>
      </c>
      <c r="Q50" s="193"/>
      <c r="R50" s="114"/>
    </row>
    <row r="51" spans="1:18" ht="20.100000000000001" customHeight="1" thickBot="1" x14ac:dyDescent="0.3">
      <c r="A51" s="114"/>
      <c r="B51" s="114"/>
      <c r="C51" s="114"/>
      <c r="D51" s="114"/>
      <c r="E51" s="150"/>
      <c r="F51" s="149"/>
      <c r="G51" s="149"/>
      <c r="H51" s="149"/>
      <c r="I51" s="273">
        <v>7</v>
      </c>
      <c r="J51" s="117" t="s">
        <v>160</v>
      </c>
      <c r="K51" s="118"/>
      <c r="L51" s="149"/>
      <c r="M51" s="149"/>
      <c r="N51" s="149"/>
      <c r="O51" s="149"/>
      <c r="P51" s="133"/>
      <c r="Q51" s="114"/>
      <c r="R51" s="114"/>
    </row>
    <row r="52" spans="1:18" ht="20.100000000000001" customHeight="1" thickTop="1" x14ac:dyDescent="0.25">
      <c r="A52" s="114"/>
      <c r="B52" s="114"/>
      <c r="C52" s="114"/>
      <c r="D52" s="114"/>
      <c r="E52" s="150"/>
      <c r="F52" s="149"/>
      <c r="G52" s="149"/>
      <c r="H52" s="157"/>
      <c r="I52" s="274"/>
      <c r="J52" s="120" t="str">
        <f>IF(ISBLANK(J51),"",IFERROR(_xlfn.XLOOKUP(J51,'List of Teams'!$B$2:$B$65,'List of Teams'!$C$2:$C$65),""))</f>
        <v>team 24</v>
      </c>
      <c r="K52" s="121"/>
      <c r="L52" s="149"/>
      <c r="M52" s="149"/>
      <c r="N52" s="149"/>
      <c r="O52" s="149"/>
      <c r="P52" s="133"/>
      <c r="Q52" s="114"/>
      <c r="R52" s="114"/>
    </row>
    <row r="53" spans="1:18" ht="20.100000000000001" customHeight="1" thickBot="1" x14ac:dyDescent="0.3">
      <c r="A53" s="114"/>
      <c r="B53" s="114"/>
      <c r="C53" s="114"/>
      <c r="D53" s="114"/>
      <c r="E53" s="150"/>
      <c r="F53" s="149"/>
      <c r="G53" s="127"/>
      <c r="H53" s="123" t="str">
        <f>IF(J56="Bye",J56,IF(OR(ISBLANK(J51),ISBLANK(J56)),"",IF(OR(ISBLANK(K51),ISBLANK(K56)),"",IF(K51&lt;K56,J51,J56))))</f>
        <v/>
      </c>
      <c r="I53" s="275"/>
      <c r="J53" s="124" t="s">
        <v>46</v>
      </c>
      <c r="K53" s="125"/>
      <c r="L53" s="126" t="str">
        <f>IF(J56="Bye",J51,IF(OR(ISBLANK(J51),ISBLANK(J56)),"",IF(OR(ISBLANK(K51),ISBLANK(K56)),"",IF(K51&gt;K56,J51,J56))))</f>
        <v/>
      </c>
      <c r="M53" s="127"/>
      <c r="N53" s="149"/>
      <c r="O53" s="149"/>
      <c r="P53" s="133"/>
      <c r="Q53" s="114"/>
      <c r="R53" s="114"/>
    </row>
    <row r="54" spans="1:18" ht="20.100000000000001" customHeight="1" thickTop="1" x14ac:dyDescent="0.35">
      <c r="A54" s="114"/>
      <c r="B54" s="114"/>
      <c r="C54" s="114"/>
      <c r="D54" s="114"/>
      <c r="E54" s="150"/>
      <c r="F54" s="149"/>
      <c r="G54" s="128"/>
      <c r="H54" s="129" t="str">
        <f>IF(H53="","",IF(K51&lt;K56,K51&amp;"-"&amp;K56,K56&amp;"-"&amp;K51))</f>
        <v/>
      </c>
      <c r="I54" s="273"/>
      <c r="J54" s="130" t="s">
        <v>32</v>
      </c>
      <c r="K54" s="125"/>
      <c r="L54" s="131" t="str">
        <f>IF(L53="","",IF(K51&gt;K56,K51&amp;"-"&amp;K56,K56&amp;"-"&amp;K51))</f>
        <v/>
      </c>
      <c r="M54" s="132"/>
      <c r="N54" s="150"/>
      <c r="O54" s="149"/>
      <c r="P54" s="133"/>
      <c r="Q54" s="114"/>
      <c r="R54" s="114"/>
    </row>
    <row r="55" spans="1:18" ht="20.100000000000001" customHeight="1" thickBot="1" x14ac:dyDescent="0.3">
      <c r="A55" s="114"/>
      <c r="B55" s="114"/>
      <c r="C55" s="114"/>
      <c r="D55" s="114"/>
      <c r="E55" s="150"/>
      <c r="F55" s="149"/>
      <c r="G55" s="134"/>
      <c r="H55" s="135"/>
      <c r="I55" s="276"/>
      <c r="J55" s="136" t="str">
        <f>IF(ISBLANK(J56),"",IFERROR(_xlfn.XLOOKUP(J56,'List of Teams'!$B$2:$B$65,'List of Teams'!$C$2:$C$65),""))</f>
        <v>team 5</v>
      </c>
      <c r="K55" s="137"/>
      <c r="L55" s="132"/>
      <c r="M55" s="132"/>
      <c r="N55" s="150"/>
      <c r="O55" s="149"/>
      <c r="P55" s="133"/>
      <c r="Q55" s="114"/>
      <c r="R55" s="114"/>
    </row>
    <row r="56" spans="1:18" ht="20.100000000000001" customHeight="1" thickTop="1" x14ac:dyDescent="0.25">
      <c r="A56" s="114"/>
      <c r="B56" s="114"/>
      <c r="C56" s="114"/>
      <c r="D56" s="114"/>
      <c r="E56" s="150"/>
      <c r="F56" s="149"/>
      <c r="G56" s="134"/>
      <c r="H56" s="132"/>
      <c r="I56" s="273">
        <v>10</v>
      </c>
      <c r="J56" s="117" t="s">
        <v>141</v>
      </c>
      <c r="K56" s="138"/>
      <c r="L56" s="132"/>
      <c r="M56" s="132"/>
      <c r="N56" s="150"/>
      <c r="O56" s="149"/>
      <c r="P56" s="133"/>
      <c r="Q56" s="114"/>
      <c r="R56" s="114"/>
    </row>
    <row r="57" spans="1:18" ht="20.100000000000001" customHeight="1" thickBot="1" x14ac:dyDescent="0.3">
      <c r="A57" s="114"/>
      <c r="B57" s="114"/>
      <c r="C57" s="114"/>
      <c r="D57" s="114"/>
      <c r="E57" s="163"/>
      <c r="F57" s="164" t="str">
        <f>IF(F58="","",IF(G53&gt;G62,G53&amp;"-"&amp;G62,G62&amp;"-"&amp;G53))</f>
        <v/>
      </c>
      <c r="G57" s="134"/>
      <c r="H57" s="141" t="s">
        <v>50</v>
      </c>
      <c r="I57" s="142"/>
      <c r="J57" s="132"/>
      <c r="K57" s="132"/>
      <c r="L57" s="141" t="s">
        <v>39</v>
      </c>
      <c r="M57" s="132"/>
      <c r="N57" s="165" t="str">
        <f>IF(N58="","",IF(M53&gt;M62,M53&amp;"-"&amp;M62,M62&amp;"-"&amp;M53))</f>
        <v/>
      </c>
      <c r="O57" s="166"/>
      <c r="P57" s="133"/>
      <c r="Q57" s="114"/>
      <c r="R57" s="114"/>
    </row>
    <row r="58" spans="1:18" ht="20.100000000000001" customHeight="1" thickTop="1" x14ac:dyDescent="0.35">
      <c r="A58" s="114"/>
      <c r="B58" s="114"/>
      <c r="C58" s="114"/>
      <c r="D58" s="114"/>
      <c r="E58" s="167"/>
      <c r="F58" s="168" t="str">
        <f>IF(H62="Bye",H53,IF(OR(ISBLANK(H53),ISBLANK(H62)),"",IF(OR(ISBLANK(G53),ISBLANK(G62)),"",IF(G53&gt;G62,H53,H62))))</f>
        <v/>
      </c>
      <c r="G58" s="134"/>
      <c r="H58" s="147" t="s">
        <v>32</v>
      </c>
      <c r="I58" s="142"/>
      <c r="J58" s="132"/>
      <c r="K58" s="132"/>
      <c r="L58" s="147" t="s">
        <v>32</v>
      </c>
      <c r="M58" s="132"/>
      <c r="N58" s="169" t="str">
        <f>IF(L62="Bye",L53,IF(OR(ISBLANK(L53),ISBLANK(L62)),"",IF(OR(ISBLANK(M53),ISBLANK(M62)),"",IF(M53&gt;M62,L53,L62))))</f>
        <v/>
      </c>
      <c r="O58" s="167"/>
      <c r="P58" s="114"/>
      <c r="Q58" s="114"/>
      <c r="R58" s="114"/>
    </row>
    <row r="59" spans="1:18" ht="20.100000000000001" customHeight="1" thickBot="1" x14ac:dyDescent="0.3">
      <c r="A59" s="114"/>
      <c r="B59" s="114"/>
      <c r="C59" s="114"/>
      <c r="D59" s="114"/>
      <c r="E59" s="114"/>
      <c r="F59" s="114"/>
      <c r="G59" s="134"/>
      <c r="H59" s="132"/>
      <c r="I59" s="273">
        <v>2</v>
      </c>
      <c r="J59" s="117" t="s">
        <v>148</v>
      </c>
      <c r="K59" s="118"/>
      <c r="L59" s="132"/>
      <c r="M59" s="132"/>
      <c r="N59" s="133"/>
      <c r="O59" s="114"/>
      <c r="P59" s="114"/>
      <c r="Q59" s="114"/>
      <c r="R59" s="114"/>
    </row>
    <row r="60" spans="1:18" ht="20.100000000000001" customHeight="1" thickTop="1" thickBot="1" x14ac:dyDescent="0.3">
      <c r="A60" s="114"/>
      <c r="B60" s="114"/>
      <c r="C60" s="114"/>
      <c r="D60" s="114"/>
      <c r="E60" s="114"/>
      <c r="F60" s="114"/>
      <c r="G60" s="134"/>
      <c r="H60" s="135"/>
      <c r="I60" s="274"/>
      <c r="J60" s="120" t="str">
        <f>IF(ISBLANK(J59),"",IFERROR(_xlfn.XLOOKUP(J59,'List of Teams'!$B$2:$B$65,'List of Teams'!$C$2:$C$65),""))</f>
        <v>team 12</v>
      </c>
      <c r="K60" s="121"/>
      <c r="L60" s="132"/>
      <c r="M60" s="132"/>
      <c r="N60" s="133"/>
      <c r="O60" s="114"/>
      <c r="P60" s="196" t="str">
        <f>IF(N26="Bye",N26,IF(OR(ISBLANK(N9),ISBLANK(N26)),"",IF(OR(ISBLANK(O9),ISBLANK(O26)),"",IF(O9&lt;O26,N9,N26))))</f>
        <v/>
      </c>
      <c r="Q60" s="178"/>
      <c r="R60" s="114"/>
    </row>
    <row r="61" spans="1:18" ht="20.100000000000001" customHeight="1" thickTop="1" thickBot="1" x14ac:dyDescent="0.3">
      <c r="A61" s="114"/>
      <c r="B61" s="114"/>
      <c r="C61" s="114"/>
      <c r="D61" s="114"/>
      <c r="E61" s="114"/>
      <c r="F61" s="114"/>
      <c r="G61" s="151"/>
      <c r="H61" s="152" t="str">
        <f>IF(H62="","",IF(K59&lt;K64,K59&amp;"-"&amp;K64,K64&amp;"-"&amp;K59))</f>
        <v>-</v>
      </c>
      <c r="I61" s="273"/>
      <c r="J61" s="124" t="s">
        <v>47</v>
      </c>
      <c r="K61" s="125"/>
      <c r="L61" s="131" t="str">
        <f>IF(L62="","",IF(K59&gt;K64,K59&amp;"-"&amp;K64,K64&amp;"-"&amp;K59))</f>
        <v>-</v>
      </c>
      <c r="M61" s="153"/>
      <c r="N61" s="133"/>
      <c r="O61" s="114"/>
      <c r="P61" s="197"/>
      <c r="Q61" s="198"/>
      <c r="R61" s="114"/>
    </row>
    <row r="62" spans="1:18" ht="20.100000000000001" customHeight="1" thickTop="1" thickBot="1" x14ac:dyDescent="0.4">
      <c r="A62" s="114"/>
      <c r="B62" s="114"/>
      <c r="C62" s="114"/>
      <c r="D62" s="114"/>
      <c r="E62" s="114"/>
      <c r="F62" s="114"/>
      <c r="G62" s="154"/>
      <c r="H62" s="155" t="str">
        <f>IF(J64="Bye",J64,IF(OR(ISBLANK(J59),ISBLANK(J64)),"",IF(OR(ISBLANK(K59),ISBLANK(K64)),"",IF(K59&lt;K64,J59,J64))))</f>
        <v>Bye</v>
      </c>
      <c r="I62" s="275"/>
      <c r="J62" s="130" t="s">
        <v>32</v>
      </c>
      <c r="K62" s="125"/>
      <c r="L62" s="156" t="str">
        <f>IF(J64="Bye",J59,IF(OR(ISBLANK(J59),ISBLANK(J64)),"",IF(OR(ISBLANK(K59),ISBLANK(K64)),"",IF(K59&gt;K64,J59,J64))))</f>
        <v>University of team 12</v>
      </c>
      <c r="M62" s="154"/>
      <c r="N62" s="114"/>
      <c r="O62" s="114"/>
      <c r="P62" s="187" t="s">
        <v>48</v>
      </c>
      <c r="Q62" s="186"/>
      <c r="R62" s="189"/>
    </row>
    <row r="63" spans="1:18" ht="20.100000000000001" customHeight="1" thickTop="1" thickBot="1" x14ac:dyDescent="0.4">
      <c r="A63" s="114"/>
      <c r="B63" s="114"/>
      <c r="C63" s="114"/>
      <c r="D63" s="114"/>
      <c r="E63" s="114"/>
      <c r="F63" s="114"/>
      <c r="G63" s="114"/>
      <c r="H63" s="119"/>
      <c r="I63" s="276"/>
      <c r="J63" s="136" t="str">
        <f>IF(ISBLANK(J64),"",IFERROR(_xlfn.XLOOKUP(J64,'List of Teams'!$B$2:$B$65,'List of Teams'!$C$2:$C$65),""))</f>
        <v/>
      </c>
      <c r="K63" s="137"/>
      <c r="L63" s="114"/>
      <c r="M63" s="114"/>
      <c r="N63" s="114"/>
      <c r="O63" s="114"/>
      <c r="P63" s="188" t="s">
        <v>32</v>
      </c>
      <c r="Q63" s="186"/>
      <c r="R63" s="114"/>
    </row>
    <row r="64" spans="1:18" ht="20.100000000000001" customHeight="1" thickTop="1" thickBot="1" x14ac:dyDescent="0.3">
      <c r="A64" s="114"/>
      <c r="B64" s="114"/>
      <c r="C64" s="114"/>
      <c r="D64" s="114"/>
      <c r="E64" s="114"/>
      <c r="F64" s="114"/>
      <c r="G64" s="114"/>
      <c r="H64" s="114"/>
      <c r="I64" s="273">
        <v>15</v>
      </c>
      <c r="J64" s="117" t="s">
        <v>222</v>
      </c>
      <c r="K64" s="138"/>
      <c r="L64" s="114"/>
      <c r="M64" s="114"/>
      <c r="N64" s="114"/>
      <c r="O64" s="114"/>
      <c r="P64" s="199"/>
      <c r="Q64" s="200"/>
      <c r="R64" s="114"/>
    </row>
    <row r="65" spans="1:18" ht="20.100000000000001" customHeight="1" thickTop="1" x14ac:dyDescent="0.25">
      <c r="A65" s="114"/>
      <c r="B65" s="114"/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201" t="str">
        <f>IF(N58="Bye",N58,IF(OR(ISBLANK(N41),ISBLANK(N58)),"",IF(OR(ISBLANK(O41),ISBLANK(O58)),"",IF(O41&lt;O58,N41,N58))))</f>
        <v/>
      </c>
      <c r="Q65" s="193"/>
      <c r="R65" s="114"/>
    </row>
    <row r="66" spans="1:18" ht="20.100000000000001" customHeight="1" x14ac:dyDescent="0.25"/>
    <row r="67" spans="1:18" ht="20.100000000000001" customHeight="1" x14ac:dyDescent="0.25"/>
    <row r="68" spans="1:18" ht="20.100000000000001" customHeight="1" x14ac:dyDescent="0.25"/>
    <row r="69" spans="1:18" ht="20.100000000000001" customHeight="1" x14ac:dyDescent="0.25"/>
    <row r="70" spans="1:18" ht="20.100000000000001" customHeight="1" x14ac:dyDescent="0.25"/>
    <row r="71" spans="1:18" ht="20.100000000000001" customHeight="1" x14ac:dyDescent="0.25"/>
    <row r="72" spans="1:18" ht="20.100000000000001" customHeight="1" x14ac:dyDescent="0.25"/>
    <row r="73" spans="1:18" ht="20.100000000000001" customHeight="1" x14ac:dyDescent="0.25"/>
    <row r="74" spans="1:18" ht="20.100000000000001" customHeight="1" x14ac:dyDescent="0.25"/>
    <row r="75" spans="1:18" ht="20.100000000000001" customHeight="1" x14ac:dyDescent="0.25"/>
    <row r="76" spans="1:18" ht="20.100000000000001" customHeight="1" x14ac:dyDescent="0.25"/>
    <row r="77" spans="1:18" ht="20.100000000000001" customHeight="1" x14ac:dyDescent="0.25"/>
    <row r="78" spans="1:18" ht="20.100000000000001" customHeight="1" x14ac:dyDescent="0.25"/>
    <row r="79" spans="1:18" ht="20.100000000000001" customHeight="1" x14ac:dyDescent="0.25"/>
    <row r="80" spans="1:18" ht="20.100000000000001" customHeight="1" x14ac:dyDescent="0.25"/>
    <row r="81" s="45" customFormat="1" ht="20.100000000000001" customHeight="1" x14ac:dyDescent="0.25"/>
    <row r="82" s="45" customFormat="1" ht="20.100000000000001" customHeight="1" x14ac:dyDescent="0.25"/>
    <row r="83" s="45" customFormat="1" ht="20.100000000000001" customHeight="1" x14ac:dyDescent="0.25"/>
    <row r="84" s="45" customFormat="1" ht="20.100000000000001" customHeight="1" x14ac:dyDescent="0.25"/>
    <row r="85" s="45" customFormat="1" ht="20.100000000000001" customHeight="1" x14ac:dyDescent="0.25"/>
    <row r="86" s="45" customFormat="1" ht="20.100000000000001" customHeight="1" x14ac:dyDescent="0.25"/>
    <row r="87" s="45" customFormat="1" ht="20.100000000000001" customHeight="1" x14ac:dyDescent="0.25"/>
    <row r="88" s="45" customFormat="1" ht="20.100000000000001" customHeight="1" x14ac:dyDescent="0.25"/>
    <row r="89" s="45" customFormat="1" ht="20.100000000000001" customHeight="1" x14ac:dyDescent="0.25"/>
    <row r="90" s="45" customFormat="1" ht="20.100000000000001" customHeight="1" x14ac:dyDescent="0.25"/>
    <row r="91" s="45" customFormat="1" ht="20.100000000000001" customHeight="1" x14ac:dyDescent="0.25"/>
    <row r="92" s="45" customFormat="1" ht="20.100000000000001" customHeight="1" x14ac:dyDescent="0.25"/>
    <row r="93" s="45" customFormat="1" ht="20.100000000000001" customHeight="1" x14ac:dyDescent="0.25"/>
    <row r="94" s="45" customFormat="1" ht="20.100000000000001" customHeight="1" x14ac:dyDescent="0.25"/>
    <row r="95" s="45" customFormat="1" ht="20.100000000000001" customHeight="1" x14ac:dyDescent="0.25"/>
    <row r="96" s="45" customFormat="1" ht="20.100000000000001" customHeight="1" x14ac:dyDescent="0.25"/>
    <row r="97" s="45" customFormat="1" ht="20.100000000000001" customHeight="1" x14ac:dyDescent="0.25"/>
    <row r="98" s="45" customFormat="1" ht="20.100000000000001" customHeight="1" x14ac:dyDescent="0.25"/>
    <row r="99" s="45" customFormat="1" ht="20.100000000000001" customHeight="1" x14ac:dyDescent="0.25"/>
    <row r="100" s="45" customFormat="1" ht="20.100000000000001" customHeight="1" x14ac:dyDescent="0.25"/>
    <row r="101" s="45" customFormat="1" ht="20.100000000000001" customHeight="1" x14ac:dyDescent="0.25"/>
    <row r="102" s="45" customFormat="1" ht="20.100000000000001" customHeight="1" x14ac:dyDescent="0.25"/>
    <row r="103" s="45" customFormat="1" ht="20.100000000000001" customHeight="1" x14ac:dyDescent="0.25"/>
    <row r="104" s="45" customFormat="1" ht="20.100000000000001" customHeight="1" x14ac:dyDescent="0.25"/>
    <row r="105" s="45" customFormat="1" ht="20.100000000000001" customHeight="1" x14ac:dyDescent="0.25"/>
    <row r="106" s="45" customFormat="1" ht="20.100000000000001" customHeight="1" x14ac:dyDescent="0.25"/>
    <row r="107" s="45" customFormat="1" ht="20.100000000000001" customHeight="1" x14ac:dyDescent="0.25"/>
    <row r="108" s="45" customFormat="1" ht="20.100000000000001" customHeight="1" x14ac:dyDescent="0.25"/>
    <row r="109" s="45" customFormat="1" ht="20.100000000000001" customHeight="1" x14ac:dyDescent="0.25"/>
    <row r="110" s="45" customFormat="1" ht="20.100000000000001" customHeight="1" x14ac:dyDescent="0.25"/>
    <row r="111" s="45" customFormat="1" ht="20.100000000000001" customHeight="1" x14ac:dyDescent="0.25"/>
    <row r="112" s="45" customFormat="1" ht="20.100000000000001" customHeight="1" x14ac:dyDescent="0.25"/>
    <row r="113" s="45" customFormat="1" ht="20.100000000000001" customHeight="1" x14ac:dyDescent="0.25"/>
    <row r="114" s="45" customFormat="1" ht="20.100000000000001" customHeight="1" x14ac:dyDescent="0.25"/>
    <row r="115" s="45" customFormat="1" ht="20.100000000000001" customHeight="1" x14ac:dyDescent="0.25"/>
    <row r="116" s="45" customFormat="1" ht="20.100000000000001" customHeight="1" x14ac:dyDescent="0.25"/>
    <row r="117" s="45" customFormat="1" ht="20.100000000000001" customHeight="1" x14ac:dyDescent="0.25"/>
    <row r="118" s="45" customFormat="1" ht="20.100000000000001" customHeight="1" x14ac:dyDescent="0.25"/>
    <row r="119" s="45" customFormat="1" ht="20.100000000000001" customHeight="1" x14ac:dyDescent="0.25"/>
    <row r="120" s="45" customFormat="1" ht="20.100000000000001" customHeight="1" x14ac:dyDescent="0.25"/>
    <row r="121" s="45" customFormat="1" ht="20.100000000000001" customHeight="1" x14ac:dyDescent="0.25"/>
    <row r="122" s="45" customFormat="1" ht="20.100000000000001" customHeight="1" x14ac:dyDescent="0.25"/>
    <row r="123" s="45" customFormat="1" ht="20.100000000000001" customHeight="1" x14ac:dyDescent="0.25"/>
    <row r="124" s="45" customFormat="1" ht="20.100000000000001" customHeight="1" x14ac:dyDescent="0.25"/>
    <row r="125" s="45" customFormat="1" ht="20.100000000000001" customHeight="1" x14ac:dyDescent="0.25"/>
    <row r="126" s="45" customFormat="1" ht="20.100000000000001" customHeight="1" x14ac:dyDescent="0.25"/>
    <row r="127" s="45" customFormat="1" ht="20.100000000000001" customHeight="1" x14ac:dyDescent="0.25"/>
    <row r="128" s="45" customFormat="1" ht="20.100000000000001" customHeight="1" x14ac:dyDescent="0.25"/>
    <row r="129" s="45" customFormat="1" ht="20.100000000000001" customHeight="1" x14ac:dyDescent="0.25"/>
    <row r="130" s="45" customFormat="1" ht="20.100000000000001" customHeight="1" x14ac:dyDescent="0.25"/>
    <row r="131" s="45" customFormat="1" ht="20.100000000000001" customHeight="1" x14ac:dyDescent="0.25"/>
    <row r="132" s="45" customFormat="1" ht="20.100000000000001" customHeight="1" x14ac:dyDescent="0.25"/>
    <row r="133" s="45" customFormat="1" ht="20.100000000000001" customHeight="1" x14ac:dyDescent="0.25"/>
    <row r="134" s="45" customFormat="1" ht="20.100000000000001" customHeight="1" x14ac:dyDescent="0.25"/>
    <row r="135" s="45" customFormat="1" ht="20.100000000000001" customHeight="1" x14ac:dyDescent="0.25"/>
    <row r="136" s="45" customFormat="1" ht="20.100000000000001" customHeight="1" x14ac:dyDescent="0.25"/>
    <row r="137" s="45" customFormat="1" ht="20.100000000000001" customHeight="1" x14ac:dyDescent="0.25"/>
    <row r="138" s="45" customFormat="1" ht="20.100000000000001" customHeight="1" x14ac:dyDescent="0.25"/>
    <row r="139" s="45" customFormat="1" ht="20.100000000000001" customHeight="1" x14ac:dyDescent="0.25"/>
    <row r="140" s="45" customFormat="1" ht="20.100000000000001" customHeight="1" x14ac:dyDescent="0.25"/>
    <row r="141" s="45" customFormat="1" ht="20.100000000000001" customHeight="1" x14ac:dyDescent="0.25"/>
    <row r="142" s="45" customFormat="1" ht="20.100000000000001" customHeight="1" x14ac:dyDescent="0.25"/>
    <row r="143" s="45" customFormat="1" ht="20.100000000000001" customHeight="1" x14ac:dyDescent="0.25"/>
    <row r="144" s="45" customFormat="1" ht="20.100000000000001" customHeight="1" x14ac:dyDescent="0.25"/>
    <row r="145" s="45" customFormat="1" ht="20.100000000000001" customHeight="1" x14ac:dyDescent="0.25"/>
    <row r="146" s="45" customFormat="1" ht="20.100000000000001" customHeight="1" x14ac:dyDescent="0.25"/>
    <row r="147" s="45" customFormat="1" ht="20.100000000000001" customHeight="1" x14ac:dyDescent="0.25"/>
    <row r="148" s="45" customFormat="1" ht="20.100000000000001" customHeight="1" x14ac:dyDescent="0.25"/>
    <row r="149" s="45" customFormat="1" ht="20.100000000000001" customHeight="1" x14ac:dyDescent="0.25"/>
    <row r="150" s="45" customFormat="1" ht="20.100000000000001" customHeight="1" x14ac:dyDescent="0.25"/>
    <row r="151" s="45" customFormat="1" ht="20.100000000000001" customHeight="1" x14ac:dyDescent="0.25"/>
    <row r="152" s="45" customFormat="1" ht="20.100000000000001" customHeight="1" x14ac:dyDescent="0.25"/>
    <row r="153" s="45" customFormat="1" ht="20.100000000000001" customHeight="1" x14ac:dyDescent="0.25"/>
    <row r="154" s="45" customFormat="1" ht="20.100000000000001" customHeight="1" x14ac:dyDescent="0.25"/>
    <row r="155" s="45" customFormat="1" ht="20.100000000000001" customHeight="1" x14ac:dyDescent="0.25"/>
    <row r="156" s="45" customFormat="1" ht="20.100000000000001" customHeight="1" x14ac:dyDescent="0.25"/>
    <row r="157" s="45" customFormat="1" ht="20.100000000000001" customHeight="1" x14ac:dyDescent="0.25"/>
    <row r="158" s="45" customFormat="1" ht="20.100000000000001" customHeight="1" x14ac:dyDescent="0.25"/>
    <row r="159" s="45" customFormat="1" ht="20.100000000000001" customHeight="1" x14ac:dyDescent="0.25"/>
    <row r="160" s="45" customFormat="1" ht="20.100000000000001" customHeight="1" x14ac:dyDescent="0.25"/>
    <row r="161" s="45" customFormat="1" ht="20.100000000000001" customHeight="1" x14ac:dyDescent="0.25"/>
    <row r="162" s="45" customFormat="1" ht="20.100000000000001" customHeight="1" x14ac:dyDescent="0.25"/>
    <row r="163" s="45" customFormat="1" ht="20.100000000000001" customHeight="1" x14ac:dyDescent="0.25"/>
    <row r="164" s="45" customFormat="1" ht="20.100000000000001" customHeight="1" x14ac:dyDescent="0.25"/>
    <row r="165" s="45" customFormat="1" ht="20.100000000000001" customHeight="1" x14ac:dyDescent="0.25"/>
    <row r="166" s="45" customFormat="1" ht="20.100000000000001" customHeight="1" x14ac:dyDescent="0.25"/>
    <row r="167" s="45" customFormat="1" ht="20.100000000000001" customHeight="1" x14ac:dyDescent="0.25"/>
    <row r="168" s="45" customFormat="1" ht="20.100000000000001" customHeight="1" x14ac:dyDescent="0.25"/>
    <row r="169" s="45" customFormat="1" ht="20.100000000000001" customHeight="1" x14ac:dyDescent="0.25"/>
    <row r="170" s="45" customFormat="1" ht="20.100000000000001" customHeight="1" x14ac:dyDescent="0.25"/>
    <row r="171" s="45" customFormat="1" ht="20.100000000000001" customHeight="1" x14ac:dyDescent="0.25"/>
    <row r="172" s="45" customFormat="1" ht="20.100000000000001" customHeight="1" x14ac:dyDescent="0.25"/>
    <row r="173" s="45" customFormat="1" ht="20.100000000000001" customHeight="1" x14ac:dyDescent="0.25"/>
    <row r="174" s="45" customFormat="1" ht="20.100000000000001" customHeight="1" x14ac:dyDescent="0.25"/>
    <row r="175" s="45" customFormat="1" ht="20.100000000000001" customHeight="1" x14ac:dyDescent="0.25"/>
    <row r="176" s="45" customFormat="1" ht="20.100000000000001" customHeight="1" x14ac:dyDescent="0.25"/>
    <row r="177" s="45" customFormat="1" ht="20.100000000000001" customHeight="1" x14ac:dyDescent="0.25"/>
    <row r="178" s="45" customFormat="1" ht="20.100000000000001" customHeight="1" x14ac:dyDescent="0.25"/>
    <row r="179" s="45" customFormat="1" ht="20.100000000000001" customHeight="1" x14ac:dyDescent="0.25"/>
    <row r="180" s="45" customFormat="1" ht="20.100000000000001" customHeight="1" x14ac:dyDescent="0.25"/>
    <row r="181" s="45" customFormat="1" ht="20.100000000000001" customHeight="1" x14ac:dyDescent="0.25"/>
    <row r="182" s="45" customFormat="1" ht="20.100000000000001" customHeight="1" x14ac:dyDescent="0.25"/>
    <row r="183" s="45" customFormat="1" ht="20.100000000000001" customHeight="1" x14ac:dyDescent="0.25"/>
    <row r="184" s="45" customFormat="1" ht="20.100000000000001" customHeight="1" x14ac:dyDescent="0.25"/>
    <row r="185" s="45" customFormat="1" ht="20.100000000000001" customHeight="1" x14ac:dyDescent="0.25"/>
    <row r="186" s="45" customFormat="1" ht="20.100000000000001" customHeight="1" x14ac:dyDescent="0.25"/>
    <row r="187" s="45" customFormat="1" ht="20.100000000000001" customHeight="1" x14ac:dyDescent="0.25"/>
    <row r="188" s="45" customFormat="1" ht="20.100000000000001" customHeight="1" x14ac:dyDescent="0.25"/>
    <row r="189" s="45" customFormat="1" ht="20.100000000000001" customHeight="1" x14ac:dyDescent="0.25"/>
    <row r="190" s="45" customFormat="1" ht="20.100000000000001" customHeight="1" x14ac:dyDescent="0.25"/>
    <row r="191" s="45" customFormat="1" ht="20.100000000000001" customHeight="1" x14ac:dyDescent="0.25"/>
    <row r="192" s="45" customFormat="1" ht="20.100000000000001" customHeight="1" x14ac:dyDescent="0.25"/>
    <row r="193" s="45" customFormat="1" ht="20.100000000000001" customHeight="1" x14ac:dyDescent="0.25"/>
    <row r="194" s="45" customFormat="1" ht="20.100000000000001" customHeight="1" x14ac:dyDescent="0.25"/>
    <row r="195" s="45" customFormat="1" ht="20.100000000000001" customHeight="1" x14ac:dyDescent="0.25"/>
    <row r="196" s="45" customFormat="1" ht="20.100000000000001" customHeight="1" x14ac:dyDescent="0.25"/>
    <row r="197" s="45" customFormat="1" ht="20.100000000000001" customHeight="1" x14ac:dyDescent="0.25"/>
    <row r="198" s="45" customFormat="1" ht="20.100000000000001" customHeight="1" x14ac:dyDescent="0.25"/>
    <row r="199" s="45" customFormat="1" ht="20.100000000000001" customHeight="1" x14ac:dyDescent="0.25"/>
    <row r="200" s="45" customFormat="1" ht="20.100000000000001" customHeight="1" x14ac:dyDescent="0.25"/>
    <row r="201" s="45" customFormat="1" ht="20.100000000000001" customHeight="1" x14ac:dyDescent="0.25"/>
    <row r="202" s="45" customFormat="1" ht="20.100000000000001" customHeight="1" x14ac:dyDescent="0.25"/>
    <row r="203" s="45" customFormat="1" ht="20.100000000000001" customHeight="1" x14ac:dyDescent="0.25"/>
    <row r="204" s="45" customFormat="1" ht="20.100000000000001" customHeight="1" x14ac:dyDescent="0.25"/>
    <row r="205" s="45" customFormat="1" ht="20.100000000000001" customHeight="1" x14ac:dyDescent="0.25"/>
    <row r="206" s="45" customFormat="1" ht="20.100000000000001" customHeight="1" x14ac:dyDescent="0.25"/>
    <row r="207" s="45" customFormat="1" ht="20.100000000000001" customHeight="1" x14ac:dyDescent="0.25"/>
    <row r="208" s="45" customFormat="1" ht="20.100000000000001" customHeight="1" x14ac:dyDescent="0.25"/>
    <row r="209" s="45" customFormat="1" ht="20.100000000000001" customHeight="1" x14ac:dyDescent="0.25"/>
    <row r="210" s="45" customFormat="1" ht="20.100000000000001" customHeight="1" x14ac:dyDescent="0.25"/>
    <row r="211" s="45" customFormat="1" ht="20.100000000000001" customHeight="1" x14ac:dyDescent="0.25"/>
    <row r="212" s="45" customFormat="1" ht="20.100000000000001" customHeight="1" x14ac:dyDescent="0.25"/>
    <row r="213" s="45" customFormat="1" ht="20.100000000000001" customHeight="1" x14ac:dyDescent="0.25"/>
    <row r="214" s="45" customFormat="1" ht="20.100000000000001" customHeight="1" x14ac:dyDescent="0.25"/>
    <row r="215" s="45" customFormat="1" ht="20.100000000000001" customHeight="1" x14ac:dyDescent="0.25"/>
    <row r="216" s="45" customFormat="1" ht="20.100000000000001" customHeight="1" x14ac:dyDescent="0.25"/>
    <row r="217" s="45" customFormat="1" ht="20.100000000000001" customHeight="1" x14ac:dyDescent="0.25"/>
    <row r="218" s="45" customFormat="1" ht="20.100000000000001" customHeight="1" x14ac:dyDescent="0.25"/>
    <row r="219" s="45" customFormat="1" ht="20.100000000000001" customHeight="1" x14ac:dyDescent="0.25"/>
    <row r="220" s="45" customFormat="1" ht="20.100000000000001" customHeight="1" x14ac:dyDescent="0.25"/>
    <row r="221" s="45" customFormat="1" ht="20.100000000000001" customHeight="1" x14ac:dyDescent="0.25"/>
    <row r="222" s="45" customFormat="1" ht="20.100000000000001" customHeight="1" x14ac:dyDescent="0.25"/>
    <row r="223" s="45" customFormat="1" ht="20.100000000000001" customHeight="1" x14ac:dyDescent="0.25"/>
    <row r="224" s="45" customFormat="1" ht="20.100000000000001" customHeight="1" x14ac:dyDescent="0.25"/>
    <row r="225" s="45" customFormat="1" ht="20.100000000000001" customHeight="1" x14ac:dyDescent="0.25"/>
    <row r="226" s="45" customFormat="1" ht="20.100000000000001" customHeight="1" x14ac:dyDescent="0.25"/>
    <row r="227" s="45" customFormat="1" ht="20.100000000000001" customHeight="1" x14ac:dyDescent="0.25"/>
    <row r="228" s="45" customFormat="1" ht="20.100000000000001" customHeight="1" x14ac:dyDescent="0.25"/>
    <row r="229" s="45" customFormat="1" ht="20.100000000000001" customHeight="1" x14ac:dyDescent="0.25"/>
    <row r="230" s="45" customFormat="1" ht="20.100000000000001" customHeight="1" x14ac:dyDescent="0.25"/>
    <row r="231" s="45" customFormat="1" ht="20.100000000000001" customHeight="1" x14ac:dyDescent="0.25"/>
    <row r="232" s="45" customFormat="1" ht="20.100000000000001" customHeight="1" x14ac:dyDescent="0.25"/>
    <row r="233" s="45" customFormat="1" ht="20.100000000000001" customHeight="1" x14ac:dyDescent="0.25"/>
    <row r="234" s="45" customFormat="1" ht="20.100000000000001" customHeight="1" x14ac:dyDescent="0.25"/>
    <row r="235" s="45" customFormat="1" ht="20.100000000000001" customHeight="1" x14ac:dyDescent="0.25"/>
    <row r="236" s="45" customFormat="1" ht="20.100000000000001" customHeight="1" x14ac:dyDescent="0.25"/>
    <row r="237" s="45" customFormat="1" ht="20.100000000000001" customHeight="1" x14ac:dyDescent="0.25"/>
    <row r="238" s="45" customFormat="1" ht="20.100000000000001" customHeight="1" x14ac:dyDescent="0.25"/>
    <row r="239" s="45" customFormat="1" ht="20.100000000000001" customHeight="1" x14ac:dyDescent="0.25"/>
    <row r="240" s="45" customFormat="1" ht="20.100000000000001" customHeight="1" x14ac:dyDescent="0.25"/>
    <row r="241" s="45" customFormat="1" ht="20.100000000000001" customHeight="1" x14ac:dyDescent="0.25"/>
    <row r="242" s="45" customFormat="1" ht="20.100000000000001" customHeight="1" x14ac:dyDescent="0.25"/>
    <row r="243" s="45" customFormat="1" ht="20.100000000000001" customHeight="1" x14ac:dyDescent="0.25"/>
    <row r="244" s="45" customFormat="1" ht="20.100000000000001" customHeight="1" x14ac:dyDescent="0.25"/>
    <row r="245" s="45" customFormat="1" ht="20.100000000000001" customHeight="1" x14ac:dyDescent="0.25"/>
    <row r="246" s="45" customFormat="1" ht="20.100000000000001" customHeight="1" x14ac:dyDescent="0.25"/>
    <row r="247" s="45" customFormat="1" ht="20.100000000000001" customHeight="1" x14ac:dyDescent="0.25"/>
    <row r="248" s="45" customFormat="1" ht="20.100000000000001" customHeight="1" x14ac:dyDescent="0.25"/>
    <row r="249" s="45" customFormat="1" ht="20.100000000000001" customHeight="1" x14ac:dyDescent="0.25"/>
    <row r="250" s="45" customFormat="1" ht="20.100000000000001" customHeight="1" x14ac:dyDescent="0.25"/>
    <row r="251" s="45" customFormat="1" ht="20.100000000000001" customHeight="1" x14ac:dyDescent="0.25"/>
    <row r="252" s="45" customFormat="1" ht="20.100000000000001" customHeight="1" x14ac:dyDescent="0.25"/>
    <row r="253" s="45" customFormat="1" ht="20.100000000000001" customHeight="1" x14ac:dyDescent="0.25"/>
    <row r="254" s="45" customFormat="1" ht="20.100000000000001" customHeight="1" x14ac:dyDescent="0.25"/>
    <row r="255" s="45" customFormat="1" ht="20.100000000000001" customHeight="1" x14ac:dyDescent="0.25"/>
    <row r="256" s="45" customFormat="1" ht="20.100000000000001" customHeight="1" x14ac:dyDescent="0.25"/>
    <row r="257" s="45" customFormat="1" ht="20.100000000000001" customHeight="1" x14ac:dyDescent="0.25"/>
    <row r="258" s="45" customFormat="1" ht="20.100000000000001" customHeight="1" x14ac:dyDescent="0.25"/>
    <row r="259" s="45" customFormat="1" ht="20.100000000000001" customHeight="1" x14ac:dyDescent="0.25"/>
    <row r="260" s="45" customFormat="1" ht="20.100000000000001" customHeight="1" x14ac:dyDescent="0.25"/>
    <row r="261" s="45" customFormat="1" ht="20.100000000000001" customHeight="1" x14ac:dyDescent="0.25"/>
    <row r="262" s="45" customFormat="1" ht="20.100000000000001" customHeight="1" x14ac:dyDescent="0.25"/>
    <row r="263" s="45" customFormat="1" ht="20.100000000000001" customHeight="1" x14ac:dyDescent="0.25"/>
    <row r="264" s="45" customFormat="1" ht="20.100000000000001" customHeight="1" x14ac:dyDescent="0.25"/>
    <row r="265" s="45" customFormat="1" ht="20.100000000000001" customHeight="1" x14ac:dyDescent="0.25"/>
    <row r="266" s="45" customFormat="1" ht="20.100000000000001" customHeight="1" x14ac:dyDescent="0.25"/>
    <row r="267" s="45" customFormat="1" ht="20.100000000000001" customHeight="1" x14ac:dyDescent="0.25"/>
    <row r="268" s="45" customFormat="1" ht="20.100000000000001" customHeight="1" x14ac:dyDescent="0.25"/>
    <row r="269" s="45" customFormat="1" ht="20.100000000000001" customHeight="1" x14ac:dyDescent="0.25"/>
    <row r="270" s="45" customFormat="1" ht="20.100000000000001" customHeight="1" x14ac:dyDescent="0.25"/>
    <row r="271" s="45" customFormat="1" ht="20.100000000000001" customHeight="1" x14ac:dyDescent="0.25"/>
    <row r="272" s="45" customFormat="1" ht="20.100000000000001" customHeight="1" x14ac:dyDescent="0.25"/>
    <row r="273" s="45" customFormat="1" ht="20.100000000000001" customHeight="1" x14ac:dyDescent="0.25"/>
    <row r="274" s="45" customFormat="1" ht="20.100000000000001" customHeight="1" x14ac:dyDescent="0.25"/>
    <row r="275" s="45" customFormat="1" ht="20.100000000000001" customHeight="1" x14ac:dyDescent="0.25"/>
    <row r="276" s="45" customFormat="1" ht="20.100000000000001" customHeight="1" x14ac:dyDescent="0.25"/>
    <row r="277" s="45" customFormat="1" ht="20.100000000000001" customHeight="1" x14ac:dyDescent="0.25"/>
    <row r="278" s="45" customFormat="1" ht="20.100000000000001" customHeight="1" x14ac:dyDescent="0.25"/>
    <row r="279" s="45" customFormat="1" ht="20.100000000000001" customHeight="1" x14ac:dyDescent="0.25"/>
    <row r="280" s="45" customFormat="1" ht="20.100000000000001" customHeight="1" x14ac:dyDescent="0.25"/>
    <row r="281" s="45" customFormat="1" ht="20.100000000000001" customHeight="1" x14ac:dyDescent="0.25"/>
    <row r="282" s="45" customFormat="1" ht="20.100000000000001" customHeight="1" x14ac:dyDescent="0.25"/>
    <row r="283" s="45" customFormat="1" ht="20.100000000000001" customHeight="1" x14ac:dyDescent="0.25"/>
    <row r="284" s="45" customFormat="1" ht="20.100000000000001" customHeight="1" x14ac:dyDescent="0.25"/>
    <row r="285" s="45" customFormat="1" ht="20.100000000000001" customHeight="1" x14ac:dyDescent="0.25"/>
    <row r="286" s="45" customFormat="1" ht="20.100000000000001" customHeight="1" x14ac:dyDescent="0.25"/>
    <row r="287" s="45" customFormat="1" ht="20.100000000000001" customHeight="1" x14ac:dyDescent="0.25"/>
    <row r="288" s="45" customFormat="1" ht="20.100000000000001" customHeight="1" x14ac:dyDescent="0.25"/>
    <row r="289" s="45" customFormat="1" ht="20.100000000000001" customHeight="1" x14ac:dyDescent="0.25"/>
    <row r="290" s="45" customFormat="1" ht="20.100000000000001" customHeight="1" x14ac:dyDescent="0.25"/>
    <row r="291" s="45" customFormat="1" ht="20.100000000000001" customHeight="1" x14ac:dyDescent="0.25"/>
    <row r="292" s="45" customFormat="1" ht="20.100000000000001" customHeight="1" x14ac:dyDescent="0.25"/>
    <row r="293" s="45" customFormat="1" ht="20.100000000000001" customHeight="1" x14ac:dyDescent="0.25"/>
    <row r="294" s="45" customFormat="1" ht="20.100000000000001" customHeight="1" x14ac:dyDescent="0.25"/>
    <row r="295" s="45" customFormat="1" ht="20.100000000000001" customHeight="1" x14ac:dyDescent="0.25"/>
    <row r="296" s="45" customFormat="1" ht="20.100000000000001" customHeight="1" x14ac:dyDescent="0.25"/>
    <row r="297" s="45" customFormat="1" ht="20.100000000000001" customHeight="1" x14ac:dyDescent="0.25"/>
    <row r="298" s="45" customFormat="1" ht="20.100000000000001" customHeight="1" x14ac:dyDescent="0.25"/>
    <row r="299" s="45" customFormat="1" ht="20.100000000000001" customHeight="1" x14ac:dyDescent="0.25"/>
    <row r="300" s="45" customFormat="1" ht="20.100000000000001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910E4-99B1-4D39-A149-50BE1D776B48}">
  <sheetPr codeName="Sheet14">
    <tabColor theme="7" tint="-0.249977111117893"/>
  </sheetPr>
  <dimension ref="A1:R300"/>
  <sheetViews>
    <sheetView zoomScale="63" zoomScaleNormal="63" workbookViewId="0"/>
  </sheetViews>
  <sheetFormatPr defaultRowHeight="15" x14ac:dyDescent="0.25"/>
  <cols>
    <col min="1" max="1" width="5.7109375" style="45" customWidth="1"/>
    <col min="2" max="2" width="50.7109375" style="45" customWidth="1"/>
    <col min="3" max="3" width="5.7109375" style="45" customWidth="1"/>
    <col min="4" max="4" width="50.7109375" style="45" customWidth="1"/>
    <col min="5" max="5" width="5.7109375" style="45" customWidth="1"/>
    <col min="6" max="6" width="50.7109375" style="45" customWidth="1"/>
    <col min="7" max="7" width="5.7109375" style="45" customWidth="1"/>
    <col min="8" max="8" width="50.7109375" style="45" customWidth="1"/>
    <col min="9" max="9" width="5.7109375" style="45" customWidth="1"/>
    <col min="10" max="10" width="50.7109375" style="45" customWidth="1"/>
    <col min="11" max="11" width="5.7109375" style="45" customWidth="1"/>
    <col min="12" max="12" width="50.7109375" style="45" customWidth="1"/>
    <col min="13" max="13" width="5.7109375" style="45" customWidth="1"/>
    <col min="14" max="14" width="50.7109375" style="45" customWidth="1"/>
    <col min="15" max="15" width="5.7109375" style="45" customWidth="1"/>
    <col min="16" max="16" width="50.7109375" style="45" customWidth="1"/>
    <col min="17" max="17" width="5.7109375" style="45" customWidth="1"/>
    <col min="18" max="18" width="50.7109375" style="45" customWidth="1"/>
    <col min="19" max="19" width="5.7109375" style="45" customWidth="1"/>
    <col min="20" max="20" width="50.7109375" style="45" customWidth="1"/>
    <col min="21" max="21" width="5.7109375" style="45" customWidth="1"/>
    <col min="22" max="22" width="50.7109375" style="45" customWidth="1"/>
    <col min="23" max="16384" width="9.140625" style="45"/>
  </cols>
  <sheetData>
    <row r="1" spans="1:18" ht="45" customHeight="1" x14ac:dyDescent="0.25">
      <c r="A1" s="114"/>
      <c r="B1" s="114"/>
      <c r="C1" s="114"/>
      <c r="D1" s="114"/>
      <c r="E1" s="114"/>
      <c r="F1" s="114"/>
      <c r="G1" s="114"/>
      <c r="H1" s="114"/>
      <c r="I1" s="115"/>
      <c r="J1" s="116" t="s">
        <v>212</v>
      </c>
      <c r="K1" s="115"/>
      <c r="L1" s="114"/>
      <c r="M1" s="114"/>
      <c r="N1" s="114"/>
      <c r="O1" s="114"/>
      <c r="P1" s="114"/>
      <c r="Q1" s="114"/>
      <c r="R1" s="114"/>
    </row>
    <row r="2" spans="1:18" ht="9.9499999999999993" customHeight="1" x14ac:dyDescent="0.2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spans="1:18" ht="20.100000000000001" customHeight="1" thickBot="1" x14ac:dyDescent="0.3">
      <c r="A3" s="114"/>
      <c r="B3" s="114"/>
      <c r="C3" s="114"/>
      <c r="D3" s="114"/>
      <c r="E3" s="114"/>
      <c r="F3" s="114"/>
      <c r="G3" s="114"/>
      <c r="H3" s="114"/>
      <c r="I3" s="273">
        <v>1</v>
      </c>
      <c r="J3" s="117" t="s">
        <v>156</v>
      </c>
      <c r="K3" s="118"/>
      <c r="L3" s="114"/>
      <c r="M3" s="114"/>
      <c r="N3" s="114"/>
      <c r="O3" s="114"/>
      <c r="P3" s="114"/>
      <c r="Q3" s="114"/>
      <c r="R3" s="114"/>
    </row>
    <row r="4" spans="1:18" ht="20.100000000000001" customHeight="1" thickTop="1" x14ac:dyDescent="0.25">
      <c r="A4" s="114"/>
      <c r="B4" s="114"/>
      <c r="C4" s="114"/>
      <c r="D4" s="114"/>
      <c r="E4" s="114"/>
      <c r="F4" s="114"/>
      <c r="G4" s="114"/>
      <c r="H4" s="119"/>
      <c r="I4" s="274"/>
      <c r="J4" s="120" t="str">
        <f>IF(ISBLANK(J3),"",IFERROR(_xlfn.XLOOKUP(J3,'List of Teams'!$B$2:$B$65,'List of Teams'!$C$2:$C$65),""))</f>
        <v>team 20</v>
      </c>
      <c r="K4" s="121"/>
      <c r="L4" s="114"/>
      <c r="M4" s="114"/>
      <c r="N4" s="114"/>
      <c r="O4" s="114"/>
      <c r="P4" s="114"/>
      <c r="Q4" s="114"/>
      <c r="R4" s="114"/>
    </row>
    <row r="5" spans="1:18" ht="20.100000000000001" customHeight="1" thickBot="1" x14ac:dyDescent="0.3">
      <c r="A5" s="114"/>
      <c r="B5" s="114"/>
      <c r="C5" s="114"/>
      <c r="D5" s="114"/>
      <c r="E5" s="114"/>
      <c r="F5" s="114"/>
      <c r="G5" s="127"/>
      <c r="H5" s="123" t="str">
        <f>IF(J8="Bye",J8,IF(OR(ISBLANK(J3),ISBLANK(J8)),"",IF(OR(ISBLANK(K3),ISBLANK(K8)),"",IF(K3&lt;K8,J3,J8))))</f>
        <v>Bye</v>
      </c>
      <c r="I5" s="275"/>
      <c r="J5" s="124" t="s">
        <v>40</v>
      </c>
      <c r="K5" s="125"/>
      <c r="L5" s="126" t="str">
        <f>IF(J8="Bye",J3,IF(OR(ISBLANK(J3),ISBLANK(J8)),"",IF(OR(ISBLANK(K3),ISBLANK(K8)),"",IF(K3&gt;K8,J3,J8))))</f>
        <v>University of team 20</v>
      </c>
      <c r="M5" s="127"/>
      <c r="N5" s="114"/>
      <c r="O5" s="114"/>
      <c r="P5" s="114"/>
      <c r="Q5" s="114"/>
      <c r="R5" s="114"/>
    </row>
    <row r="6" spans="1:18" ht="20.100000000000001" customHeight="1" thickTop="1" x14ac:dyDescent="0.35">
      <c r="A6" s="114"/>
      <c r="B6" s="114"/>
      <c r="C6" s="114"/>
      <c r="D6" s="114"/>
      <c r="E6" s="114"/>
      <c r="F6" s="114"/>
      <c r="G6" s="128"/>
      <c r="H6" s="129" t="str">
        <f>IF(H5="","",IF(K3&lt;K8,K3&amp;"-"&amp;K8,K8&amp;"-"&amp;K3))</f>
        <v>-</v>
      </c>
      <c r="I6" s="273"/>
      <c r="J6" s="130" t="s">
        <v>32</v>
      </c>
      <c r="K6" s="125"/>
      <c r="L6" s="131" t="str">
        <f>IF(L5="","",IF(K3&gt;K8,K3&amp;"-"&amp;K8,K8&amp;"-"&amp;K3))</f>
        <v>-</v>
      </c>
      <c r="M6" s="132"/>
      <c r="N6" s="133"/>
      <c r="O6" s="114"/>
      <c r="P6" s="114"/>
      <c r="Q6" s="114"/>
      <c r="R6" s="114"/>
    </row>
    <row r="7" spans="1:18" ht="20.100000000000001" customHeight="1" thickBot="1" x14ac:dyDescent="0.3">
      <c r="A7" s="114"/>
      <c r="B7" s="114"/>
      <c r="C7" s="114"/>
      <c r="D7" s="114"/>
      <c r="E7" s="114"/>
      <c r="F7" s="114"/>
      <c r="G7" s="134"/>
      <c r="H7" s="135"/>
      <c r="I7" s="276"/>
      <c r="J7" s="136" t="str">
        <f>IF(ISBLANK(J8),"",IFERROR(_xlfn.XLOOKUP(J8,'List of Teams'!$B$2:$B$65,'List of Teams'!$C$2:$C$65),""))</f>
        <v/>
      </c>
      <c r="K7" s="137"/>
      <c r="L7" s="132"/>
      <c r="M7" s="132"/>
      <c r="N7" s="133"/>
      <c r="O7" s="114"/>
      <c r="P7" s="114"/>
      <c r="Q7" s="114"/>
      <c r="R7" s="114"/>
    </row>
    <row r="8" spans="1:18" ht="20.100000000000001" customHeight="1" thickTop="1" x14ac:dyDescent="0.25">
      <c r="A8" s="114"/>
      <c r="B8" s="114"/>
      <c r="C8" s="114"/>
      <c r="D8" s="114"/>
      <c r="E8" s="114"/>
      <c r="F8" s="114"/>
      <c r="G8" s="134"/>
      <c r="H8" s="132"/>
      <c r="I8" s="273">
        <v>16</v>
      </c>
      <c r="J8" s="117" t="s">
        <v>222</v>
      </c>
      <c r="K8" s="138"/>
      <c r="L8" s="132"/>
      <c r="M8" s="132"/>
      <c r="N8" s="133"/>
      <c r="O8" s="114"/>
      <c r="P8" s="114"/>
      <c r="Q8" s="114"/>
      <c r="R8" s="114"/>
    </row>
    <row r="9" spans="1:18" ht="20.100000000000001" customHeight="1" thickBot="1" x14ac:dyDescent="0.3">
      <c r="A9" s="114"/>
      <c r="B9" s="114"/>
      <c r="C9" s="114"/>
      <c r="D9" s="114"/>
      <c r="E9" s="144"/>
      <c r="F9" s="140" t="str">
        <f>IF(H14="Bye",H5,IF(OR(ISBLANK(H5),ISBLANK(H14)),"",IF(OR(ISBLANK(G5),ISBLANK(G14)),"",IF(G5&gt;G14,H5,H14))))</f>
        <v/>
      </c>
      <c r="G9" s="134"/>
      <c r="H9" s="141" t="s">
        <v>49</v>
      </c>
      <c r="I9" s="142"/>
      <c r="J9" s="132"/>
      <c r="K9" s="132"/>
      <c r="L9" s="141" t="s">
        <v>36</v>
      </c>
      <c r="M9" s="132"/>
      <c r="N9" s="143" t="str">
        <f>IF(L14="Bye",L5,IF(OR(ISBLANK(L5),ISBLANK(L14)),"",IF(OR(ISBLANK(M5),ISBLANK(M14)),"",IF(M5&gt;M14,L5,L14))))</f>
        <v/>
      </c>
      <c r="O9" s="144"/>
      <c r="P9" s="114"/>
      <c r="Q9" s="114"/>
      <c r="R9" s="114"/>
    </row>
    <row r="10" spans="1:18" ht="20.100000000000001" customHeight="1" thickTop="1" x14ac:dyDescent="0.35">
      <c r="A10" s="114"/>
      <c r="B10" s="114"/>
      <c r="C10" s="114"/>
      <c r="D10" s="114"/>
      <c r="E10" s="145"/>
      <c r="F10" s="146" t="str">
        <f>IF(F9="","",IF(G5&gt;G14,G5&amp;"-"&amp;G14,G14&amp;"-"&amp;G5))</f>
        <v/>
      </c>
      <c r="G10" s="134"/>
      <c r="H10" s="147" t="s">
        <v>32</v>
      </c>
      <c r="I10" s="142"/>
      <c r="J10" s="132"/>
      <c r="K10" s="132"/>
      <c r="L10" s="147" t="s">
        <v>32</v>
      </c>
      <c r="M10" s="132"/>
      <c r="N10" s="148" t="str">
        <f>IF(N9="","",IF(M5&gt;M14,M5&amp;"-"&amp;M14,M14&amp;"-"&amp;M5))</f>
        <v/>
      </c>
      <c r="O10" s="149"/>
      <c r="P10" s="133"/>
      <c r="Q10" s="114"/>
      <c r="R10" s="114"/>
    </row>
    <row r="11" spans="1:18" ht="20.100000000000001" customHeight="1" thickBot="1" x14ac:dyDescent="0.3">
      <c r="A11" s="114"/>
      <c r="B11" s="114"/>
      <c r="C11" s="114"/>
      <c r="D11" s="114"/>
      <c r="E11" s="150"/>
      <c r="F11" s="149"/>
      <c r="G11" s="134"/>
      <c r="H11" s="132"/>
      <c r="I11" s="273">
        <v>8</v>
      </c>
      <c r="J11" s="117" t="s">
        <v>168</v>
      </c>
      <c r="K11" s="118"/>
      <c r="L11" s="132"/>
      <c r="M11" s="132"/>
      <c r="N11" s="150"/>
      <c r="O11" s="149"/>
      <c r="P11" s="133"/>
      <c r="Q11" s="114"/>
      <c r="R11" s="114"/>
    </row>
    <row r="12" spans="1:18" ht="20.100000000000001" customHeight="1" thickTop="1" x14ac:dyDescent="0.25">
      <c r="A12" s="114"/>
      <c r="B12" s="114"/>
      <c r="C12" s="114"/>
      <c r="D12" s="114"/>
      <c r="E12" s="150"/>
      <c r="F12" s="149"/>
      <c r="G12" s="134"/>
      <c r="H12" s="135"/>
      <c r="I12" s="274"/>
      <c r="J12" s="120" t="str">
        <f>IF(ISBLANK(J11),"",IFERROR(_xlfn.XLOOKUP(J11,'List of Teams'!$B$2:$B$65,'List of Teams'!$C$2:$C$65),""))</f>
        <v>team 32</v>
      </c>
      <c r="K12" s="121"/>
      <c r="L12" s="132"/>
      <c r="M12" s="132"/>
      <c r="N12" s="150"/>
      <c r="O12" s="149"/>
      <c r="P12" s="133"/>
      <c r="Q12" s="114"/>
      <c r="R12" s="114"/>
    </row>
    <row r="13" spans="1:18" ht="20.100000000000001" customHeight="1" thickBot="1" x14ac:dyDescent="0.3">
      <c r="A13" s="114"/>
      <c r="B13" s="114"/>
      <c r="C13" s="114"/>
      <c r="D13" s="114"/>
      <c r="E13" s="150"/>
      <c r="F13" s="149"/>
      <c r="G13" s="151"/>
      <c r="H13" s="152" t="str">
        <f>IF(H14="","",IF(K11&lt;K16,K11&amp;"-"&amp;K16,K16&amp;"-"&amp;K11))</f>
        <v/>
      </c>
      <c r="I13" s="273"/>
      <c r="J13" s="124" t="s">
        <v>41</v>
      </c>
      <c r="K13" s="125"/>
      <c r="L13" s="131" t="str">
        <f>IF(L14="","",IF(K11&gt;K16,K11&amp;"-"&amp;K16,K16&amp;"-"&amp;K11))</f>
        <v/>
      </c>
      <c r="M13" s="153"/>
      <c r="N13" s="150"/>
      <c r="O13" s="149"/>
      <c r="P13" s="133"/>
      <c r="Q13" s="114"/>
      <c r="R13" s="114"/>
    </row>
    <row r="14" spans="1:18" ht="20.100000000000001" customHeight="1" thickTop="1" x14ac:dyDescent="0.35">
      <c r="A14" s="114"/>
      <c r="B14" s="114"/>
      <c r="C14" s="114"/>
      <c r="D14" s="114"/>
      <c r="E14" s="150"/>
      <c r="F14" s="149"/>
      <c r="G14" s="154"/>
      <c r="H14" s="155" t="str">
        <f>IF(J16="Bye",J16,IF(OR(ISBLANK(J11),ISBLANK(J16)),"",IF(OR(ISBLANK(K11),ISBLANK(K16)),"",IF(K11&lt;K16,J11,J16))))</f>
        <v/>
      </c>
      <c r="I14" s="275"/>
      <c r="J14" s="130" t="s">
        <v>32</v>
      </c>
      <c r="K14" s="125"/>
      <c r="L14" s="156" t="str">
        <f>IF(J16="Bye",J11,IF(OR(ISBLANK(J11),ISBLANK(J16)),"",IF(OR(ISBLANK(K11),ISBLANK(K16)),"",IF(K11&gt;K16,J11,J16))))</f>
        <v/>
      </c>
      <c r="M14" s="154"/>
      <c r="N14" s="149"/>
      <c r="O14" s="149"/>
      <c r="P14" s="133"/>
      <c r="Q14" s="114"/>
      <c r="R14" s="114"/>
    </row>
    <row r="15" spans="1:18" ht="20.100000000000001" customHeight="1" thickBot="1" x14ac:dyDescent="0.3">
      <c r="A15" s="114"/>
      <c r="B15" s="114"/>
      <c r="C15" s="114"/>
      <c r="D15" s="114"/>
      <c r="E15" s="150"/>
      <c r="F15" s="149"/>
      <c r="G15" s="149"/>
      <c r="H15" s="157"/>
      <c r="I15" s="276"/>
      <c r="J15" s="136" t="str">
        <f>IF(ISBLANK(J16),"",IFERROR(_xlfn.XLOOKUP(J16,'List of Teams'!$B$2:$B$65,'List of Teams'!$C$2:$C$65),""))</f>
        <v>team 11</v>
      </c>
      <c r="K15" s="137"/>
      <c r="L15" s="149"/>
      <c r="M15" s="149"/>
      <c r="N15" s="149"/>
      <c r="O15" s="149"/>
      <c r="P15" s="133"/>
      <c r="Q15" s="114"/>
      <c r="R15" s="114"/>
    </row>
    <row r="16" spans="1:18" ht="20.100000000000001" customHeight="1" thickTop="1" x14ac:dyDescent="0.25">
      <c r="A16" s="114"/>
      <c r="B16" s="114"/>
      <c r="C16" s="114"/>
      <c r="D16" s="114"/>
      <c r="E16" s="150"/>
      <c r="F16" s="159" t="s">
        <v>53</v>
      </c>
      <c r="G16" s="149"/>
      <c r="H16" s="149"/>
      <c r="I16" s="273">
        <v>9</v>
      </c>
      <c r="J16" s="117" t="s">
        <v>147</v>
      </c>
      <c r="K16" s="138"/>
      <c r="L16" s="149"/>
      <c r="M16" s="149"/>
      <c r="N16" s="159" t="s">
        <v>34</v>
      </c>
      <c r="O16" s="149"/>
      <c r="P16" s="133"/>
      <c r="Q16" s="114"/>
      <c r="R16" s="114"/>
    </row>
    <row r="17" spans="1:18" ht="20.100000000000001" customHeight="1" thickBot="1" x14ac:dyDescent="0.4">
      <c r="A17" s="114"/>
      <c r="B17" s="114"/>
      <c r="C17" s="178"/>
      <c r="D17" s="179" t="str">
        <f>IF(F26="Bye",F9,IF(OR(ISBLANK(F9),ISBLANK(F26)),"",IF(OR(ISBLANK(E9),ISBLANK(E26)),"",IF(E9&gt;E26,F9,F26))))</f>
        <v/>
      </c>
      <c r="E17" s="150"/>
      <c r="F17" s="161" t="s">
        <v>32</v>
      </c>
      <c r="G17" s="149"/>
      <c r="H17" s="149"/>
      <c r="I17" s="149"/>
      <c r="J17" s="149"/>
      <c r="K17" s="149"/>
      <c r="L17" s="149"/>
      <c r="M17" s="149"/>
      <c r="N17" s="161" t="s">
        <v>32</v>
      </c>
      <c r="O17" s="149"/>
      <c r="P17" s="180" t="str">
        <f>IF(N26="Bye",N9,IF(OR(ISBLANK(N9),ISBLANK(N26)),"",IF(OR(ISBLANK(O9),ISBLANK(O26)),"",IF(O9&gt;O26,N9,N26))))</f>
        <v/>
      </c>
      <c r="Q17" s="178"/>
      <c r="R17" s="114"/>
    </row>
    <row r="18" spans="1:18" ht="20.100000000000001" customHeight="1" thickTop="1" x14ac:dyDescent="0.25">
      <c r="A18" s="114"/>
      <c r="B18" s="114"/>
      <c r="C18" s="181"/>
      <c r="D18" s="182" t="str">
        <f>IF(D17="","",IF(E9&gt;E26,E9&amp;"-"&amp;E26,E26&amp;"-"&amp;E9))</f>
        <v/>
      </c>
      <c r="E18" s="150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83" t="str">
        <f>IF(P17="","",IF(O9&gt;O26,O9&amp;"-"&amp;O26,O26&amp;"-"&amp;O9))</f>
        <v/>
      </c>
      <c r="Q18" s="184"/>
      <c r="R18" s="133"/>
    </row>
    <row r="19" spans="1:18" ht="20.100000000000001" customHeight="1" thickBot="1" x14ac:dyDescent="0.3">
      <c r="A19" s="114"/>
      <c r="B19" s="114"/>
      <c r="C19" s="185"/>
      <c r="D19" s="184"/>
      <c r="E19" s="150"/>
      <c r="F19" s="149"/>
      <c r="G19" s="149"/>
      <c r="H19" s="149"/>
      <c r="I19" s="273">
        <v>5</v>
      </c>
      <c r="J19" s="117" t="s">
        <v>170</v>
      </c>
      <c r="K19" s="118"/>
      <c r="L19" s="149"/>
      <c r="M19" s="149"/>
      <c r="N19" s="149"/>
      <c r="O19" s="149"/>
      <c r="P19" s="185"/>
      <c r="Q19" s="184"/>
      <c r="R19" s="133"/>
    </row>
    <row r="20" spans="1:18" ht="20.100000000000001" customHeight="1" thickTop="1" x14ac:dyDescent="0.25">
      <c r="A20" s="114"/>
      <c r="B20" s="114"/>
      <c r="C20" s="185"/>
      <c r="D20" s="184"/>
      <c r="E20" s="150"/>
      <c r="F20" s="149"/>
      <c r="G20" s="149"/>
      <c r="H20" s="157"/>
      <c r="I20" s="274"/>
      <c r="J20" s="120" t="str">
        <f>IF(ISBLANK(J19),"",IFERROR(_xlfn.XLOOKUP(J19,'List of Teams'!$B$2:$B$65,'List of Teams'!$C$2:$C$65),""))</f>
        <v>team 34</v>
      </c>
      <c r="K20" s="121"/>
      <c r="L20" s="149"/>
      <c r="M20" s="149"/>
      <c r="N20" s="149"/>
      <c r="O20" s="149"/>
      <c r="P20" s="185"/>
      <c r="Q20" s="184"/>
      <c r="R20" s="133"/>
    </row>
    <row r="21" spans="1:18" ht="20.100000000000001" customHeight="1" thickBot="1" x14ac:dyDescent="0.3">
      <c r="A21" s="114"/>
      <c r="B21" s="114"/>
      <c r="C21" s="185"/>
      <c r="D21" s="184"/>
      <c r="E21" s="150"/>
      <c r="F21" s="149"/>
      <c r="G21" s="127"/>
      <c r="H21" s="123" t="str">
        <f>IF(J24="Bye",J24,IF(OR(ISBLANK(J19),ISBLANK(J24)),"",IF(OR(ISBLANK(K19),ISBLANK(K24)),"",IF(K19&lt;K24,J19,J24))))</f>
        <v>Bye</v>
      </c>
      <c r="I21" s="275"/>
      <c r="J21" s="124" t="s">
        <v>42</v>
      </c>
      <c r="K21" s="125"/>
      <c r="L21" s="126" t="str">
        <f>IF(J24="Bye",J19,IF(OR(ISBLANK(J19),ISBLANK(J24)),"",IF(OR(ISBLANK(K19),ISBLANK(K24)),"",IF(K19&gt;K24,J19,J24))))</f>
        <v>University of team 34</v>
      </c>
      <c r="M21" s="127"/>
      <c r="N21" s="149"/>
      <c r="O21" s="149"/>
      <c r="P21" s="185"/>
      <c r="Q21" s="184"/>
      <c r="R21" s="133"/>
    </row>
    <row r="22" spans="1:18" ht="20.100000000000001" customHeight="1" thickTop="1" x14ac:dyDescent="0.35">
      <c r="A22" s="114"/>
      <c r="B22" s="114"/>
      <c r="C22" s="185"/>
      <c r="D22" s="184"/>
      <c r="E22" s="150"/>
      <c r="F22" s="149"/>
      <c r="G22" s="128"/>
      <c r="H22" s="129" t="str">
        <f>IF(H21="","",IF(K19&lt;K24,K19&amp;"-"&amp;K24,K24&amp;"-"&amp;K19))</f>
        <v>-</v>
      </c>
      <c r="I22" s="273"/>
      <c r="J22" s="130" t="s">
        <v>32</v>
      </c>
      <c r="K22" s="125"/>
      <c r="L22" s="131" t="str">
        <f>IF(L21="","",IF(K19&gt;K24,K19&amp;"-"&amp;K24,K24&amp;"-"&amp;K19))</f>
        <v>-</v>
      </c>
      <c r="M22" s="132"/>
      <c r="N22" s="150"/>
      <c r="O22" s="149"/>
      <c r="P22" s="185"/>
      <c r="Q22" s="184"/>
      <c r="R22" s="133"/>
    </row>
    <row r="23" spans="1:18" ht="20.100000000000001" customHeight="1" thickBot="1" x14ac:dyDescent="0.3">
      <c r="A23" s="114"/>
      <c r="B23" s="114"/>
      <c r="C23" s="185"/>
      <c r="D23" s="184"/>
      <c r="E23" s="150"/>
      <c r="F23" s="149"/>
      <c r="G23" s="134"/>
      <c r="H23" s="135"/>
      <c r="I23" s="276"/>
      <c r="J23" s="136" t="str">
        <f>IF(ISBLANK(J24),"",IFERROR(_xlfn.XLOOKUP(J24,'List of Teams'!$B$2:$B$65,'List of Teams'!$C$2:$C$65),""))</f>
        <v/>
      </c>
      <c r="K23" s="137"/>
      <c r="L23" s="132"/>
      <c r="M23" s="132"/>
      <c r="N23" s="150"/>
      <c r="O23" s="149"/>
      <c r="P23" s="185"/>
      <c r="Q23" s="184"/>
      <c r="R23" s="133"/>
    </row>
    <row r="24" spans="1:18" ht="20.100000000000001" customHeight="1" thickTop="1" x14ac:dyDescent="0.25">
      <c r="A24" s="114"/>
      <c r="B24" s="114"/>
      <c r="C24" s="185"/>
      <c r="D24" s="184"/>
      <c r="E24" s="150"/>
      <c r="F24" s="149"/>
      <c r="G24" s="134"/>
      <c r="H24" s="132"/>
      <c r="I24" s="273">
        <v>12</v>
      </c>
      <c r="J24" s="117" t="s">
        <v>222</v>
      </c>
      <c r="K24" s="138"/>
      <c r="L24" s="132"/>
      <c r="M24" s="132"/>
      <c r="N24" s="150"/>
      <c r="O24" s="149"/>
      <c r="P24" s="185"/>
      <c r="Q24" s="184"/>
      <c r="R24" s="133"/>
    </row>
    <row r="25" spans="1:18" ht="20.100000000000001" customHeight="1" thickBot="1" x14ac:dyDescent="0.3">
      <c r="A25" s="114"/>
      <c r="B25" s="114"/>
      <c r="C25" s="185"/>
      <c r="D25" s="184"/>
      <c r="E25" s="163"/>
      <c r="F25" s="164" t="str">
        <f>IF(F26="","",IF(G21&gt;G30,G21&amp;"-"&amp;G30,G30&amp;"-"&amp;G21))</f>
        <v>-</v>
      </c>
      <c r="G25" s="134"/>
      <c r="H25" s="141" t="s">
        <v>52</v>
      </c>
      <c r="I25" s="142"/>
      <c r="J25" s="132"/>
      <c r="K25" s="132"/>
      <c r="L25" s="141" t="s">
        <v>37</v>
      </c>
      <c r="M25" s="132"/>
      <c r="N25" s="165" t="str">
        <f>IF(N26="","",IF(M21&gt;M30,M21&amp;"-"&amp;M30,M30&amp;"-"&amp;M21))</f>
        <v/>
      </c>
      <c r="O25" s="166"/>
      <c r="P25" s="185"/>
      <c r="Q25" s="184"/>
      <c r="R25" s="133"/>
    </row>
    <row r="26" spans="1:18" ht="20.100000000000001" customHeight="1" thickTop="1" x14ac:dyDescent="0.35">
      <c r="A26" s="114"/>
      <c r="B26" s="114"/>
      <c r="C26" s="185"/>
      <c r="D26" s="184"/>
      <c r="E26" s="167"/>
      <c r="F26" s="168" t="str">
        <f>IF(H30="Bye",H21,IF(OR(ISBLANK(H21),ISBLANK(H30)),"",IF(OR(ISBLANK(G21),ISBLANK(G30)),"",IF(G21&gt;G30,H21,H30))))</f>
        <v>Bye</v>
      </c>
      <c r="G26" s="134"/>
      <c r="H26" s="147" t="s">
        <v>32</v>
      </c>
      <c r="I26" s="142"/>
      <c r="J26" s="132"/>
      <c r="K26" s="132"/>
      <c r="L26" s="147" t="s">
        <v>32</v>
      </c>
      <c r="M26" s="132"/>
      <c r="N26" s="169" t="str">
        <f>IF(L30="Bye",L21,IF(OR(ISBLANK(L21),ISBLANK(L30)),"",IF(OR(ISBLANK(M21),ISBLANK(M30)),"",IF(M21&gt;M30,L21,L30))))</f>
        <v/>
      </c>
      <c r="O26" s="167"/>
      <c r="P26" s="184"/>
      <c r="Q26" s="184"/>
      <c r="R26" s="133"/>
    </row>
    <row r="27" spans="1:18" ht="20.100000000000001" customHeight="1" thickBot="1" x14ac:dyDescent="0.3">
      <c r="A27" s="114"/>
      <c r="B27" s="114"/>
      <c r="C27" s="185"/>
      <c r="D27" s="184"/>
      <c r="E27" s="184"/>
      <c r="F27" s="184"/>
      <c r="G27" s="134"/>
      <c r="H27" s="132"/>
      <c r="I27" s="273">
        <v>4</v>
      </c>
      <c r="J27" s="117" t="s">
        <v>166</v>
      </c>
      <c r="K27" s="118"/>
      <c r="L27" s="132"/>
      <c r="M27" s="132"/>
      <c r="N27" s="185"/>
      <c r="O27" s="184"/>
      <c r="P27" s="184"/>
      <c r="Q27" s="184"/>
      <c r="R27" s="133"/>
    </row>
    <row r="28" spans="1:18" ht="20.100000000000001" customHeight="1" thickTop="1" x14ac:dyDescent="0.25">
      <c r="A28" s="114"/>
      <c r="B28" s="114"/>
      <c r="C28" s="185"/>
      <c r="D28" s="184"/>
      <c r="E28" s="184"/>
      <c r="F28" s="184"/>
      <c r="G28" s="134"/>
      <c r="H28" s="135"/>
      <c r="I28" s="274"/>
      <c r="J28" s="120" t="str">
        <f>IF(ISBLANK(J27),"",IFERROR(_xlfn.XLOOKUP(J27,'List of Teams'!$B$2:$B$65,'List of Teams'!$C$2:$C$65),""))</f>
        <v>team 30</v>
      </c>
      <c r="K28" s="121"/>
      <c r="L28" s="132"/>
      <c r="M28" s="132"/>
      <c r="N28" s="185"/>
      <c r="O28" s="184"/>
      <c r="P28" s="184"/>
      <c r="Q28" s="184"/>
      <c r="R28" s="133"/>
    </row>
    <row r="29" spans="1:18" ht="20.100000000000001" customHeight="1" thickBot="1" x14ac:dyDescent="0.3">
      <c r="A29" s="114"/>
      <c r="B29" s="114"/>
      <c r="C29" s="185"/>
      <c r="D29" s="184"/>
      <c r="E29" s="184"/>
      <c r="F29" s="184"/>
      <c r="G29" s="151"/>
      <c r="H29" s="152" t="str">
        <f>IF(H30="","",IF(K27&lt;K32,K27&amp;"-"&amp;K32,K32&amp;"-"&amp;K27))</f>
        <v>-</v>
      </c>
      <c r="I29" s="273"/>
      <c r="J29" s="124" t="s">
        <v>43</v>
      </c>
      <c r="K29" s="125"/>
      <c r="L29" s="131" t="str">
        <f>IF(L30="","",IF(K27&gt;K32,K27&amp;"-"&amp;K32,K32&amp;"-"&amp;K27))</f>
        <v>-</v>
      </c>
      <c r="M29" s="153"/>
      <c r="N29" s="185"/>
      <c r="O29" s="184"/>
      <c r="P29" s="184"/>
      <c r="Q29" s="184"/>
      <c r="R29" s="133"/>
    </row>
    <row r="30" spans="1:18" ht="20.100000000000001" customHeight="1" thickTop="1" x14ac:dyDescent="0.35">
      <c r="A30" s="114"/>
      <c r="B30" s="114"/>
      <c r="C30" s="185"/>
      <c r="D30" s="184"/>
      <c r="E30" s="184"/>
      <c r="F30" s="184"/>
      <c r="G30" s="154"/>
      <c r="H30" s="155" t="str">
        <f>IF(J32="Bye",J32,IF(OR(ISBLANK(J27),ISBLANK(J32)),"",IF(OR(ISBLANK(K27),ISBLANK(K32)),"",IF(K27&lt;K32,J27,J32))))</f>
        <v>Bye</v>
      </c>
      <c r="I30" s="275"/>
      <c r="J30" s="130" t="s">
        <v>32</v>
      </c>
      <c r="K30" s="125"/>
      <c r="L30" s="156" t="str">
        <f>IF(J32="Bye",J27,IF(OR(ISBLANK(J27),ISBLANK(J32)),"",IF(OR(ISBLANK(K27),ISBLANK(K32)),"",IF(K27&gt;K32,J27,J32))))</f>
        <v>University of team 30</v>
      </c>
      <c r="M30" s="154"/>
      <c r="N30" s="184"/>
      <c r="O30" s="184"/>
      <c r="P30" s="184"/>
      <c r="Q30" s="184"/>
      <c r="R30" s="133"/>
    </row>
    <row r="31" spans="1:18" ht="20.100000000000001" customHeight="1" thickBot="1" x14ac:dyDescent="0.3">
      <c r="A31" s="114"/>
      <c r="B31" s="114"/>
      <c r="C31" s="185"/>
      <c r="D31" s="184"/>
      <c r="E31" s="184"/>
      <c r="F31" s="184"/>
      <c r="G31" s="184"/>
      <c r="H31" s="186"/>
      <c r="I31" s="276"/>
      <c r="J31" s="136" t="str">
        <f>IF(ISBLANK(J32),"",IFERROR(_xlfn.XLOOKUP(J32,'List of Teams'!$B$2:$B$65,'List of Teams'!$C$2:$C$65),""))</f>
        <v/>
      </c>
      <c r="K31" s="137"/>
      <c r="L31" s="184"/>
      <c r="M31" s="184"/>
      <c r="N31" s="184"/>
      <c r="O31" s="184"/>
      <c r="P31" s="184"/>
      <c r="Q31" s="184"/>
      <c r="R31" s="133"/>
    </row>
    <row r="32" spans="1:18" ht="20.100000000000001" customHeight="1" thickTop="1" x14ac:dyDescent="0.25">
      <c r="A32" s="114"/>
      <c r="B32" s="114"/>
      <c r="C32" s="185"/>
      <c r="D32" s="184"/>
      <c r="E32" s="184"/>
      <c r="F32" s="184"/>
      <c r="G32" s="184"/>
      <c r="H32" s="184"/>
      <c r="I32" s="273">
        <v>13</v>
      </c>
      <c r="J32" s="117" t="s">
        <v>222</v>
      </c>
      <c r="K32" s="138"/>
      <c r="L32" s="184"/>
      <c r="M32" s="184"/>
      <c r="N32" s="184"/>
      <c r="O32" s="184"/>
      <c r="P32" s="184"/>
      <c r="Q32" s="184"/>
      <c r="R32" s="133"/>
    </row>
    <row r="33" spans="1:18" ht="20.100000000000001" customHeight="1" thickBot="1" x14ac:dyDescent="0.3">
      <c r="A33" s="114"/>
      <c r="B33" s="179" t="str">
        <f>IF(D50="Bye",D17,IF(OR(ISBLANK(D17),ISBLANK(D50)),"",IF(OR(ISBLANK(C17),ISBLANK(C50)),"",IF(C17&gt;C50,D17,D50))))</f>
        <v/>
      </c>
      <c r="C33" s="185"/>
      <c r="D33" s="187" t="s">
        <v>55</v>
      </c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7" t="s">
        <v>33</v>
      </c>
      <c r="Q33" s="184"/>
      <c r="R33" s="180" t="str">
        <f>IF(P50="Bye",P17,IF(OR(ISBLANK(P17),ISBLANK(P50)),"",IF(OR(ISBLANK(Q17),ISBLANK(Q50)),"",IF(Q17&gt;Q50,P17,P50))))</f>
        <v/>
      </c>
    </row>
    <row r="34" spans="1:18" ht="20.100000000000001" customHeight="1" thickTop="1" x14ac:dyDescent="0.35">
      <c r="A34" s="114"/>
      <c r="B34" s="160" t="str">
        <f>IF(B33="","",IF(C17&gt;C50,C17&amp;"-"&amp;C50,C50&amp;"-"&amp;C17))</f>
        <v/>
      </c>
      <c r="C34" s="185"/>
      <c r="D34" s="188" t="s">
        <v>32</v>
      </c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8" t="s">
        <v>32</v>
      </c>
      <c r="Q34" s="184"/>
      <c r="R34" s="162" t="str">
        <f>IF(R33="","",IF(Q17&gt;Q50,Q17&amp;"-"&amp;Q50,Q50&amp;"-"&amp;Q17))</f>
        <v/>
      </c>
    </row>
    <row r="35" spans="1:18" ht="20.100000000000001" customHeight="1" thickBot="1" x14ac:dyDescent="0.3">
      <c r="A35" s="114"/>
      <c r="B35" s="114"/>
      <c r="C35" s="185"/>
      <c r="D35" s="184"/>
      <c r="E35" s="184"/>
      <c r="F35" s="184"/>
      <c r="G35" s="184"/>
      <c r="H35" s="184"/>
      <c r="I35" s="273">
        <v>3</v>
      </c>
      <c r="J35" s="117" t="s">
        <v>139</v>
      </c>
      <c r="K35" s="118"/>
      <c r="L35" s="184"/>
      <c r="M35" s="184"/>
      <c r="N35" s="184"/>
      <c r="O35" s="184"/>
      <c r="P35" s="184"/>
      <c r="Q35" s="184"/>
      <c r="R35" s="133"/>
    </row>
    <row r="36" spans="1:18" ht="20.100000000000001" customHeight="1" thickTop="1" x14ac:dyDescent="0.25">
      <c r="A36" s="114"/>
      <c r="B36" s="114"/>
      <c r="C36" s="185"/>
      <c r="D36" s="184"/>
      <c r="E36" s="184"/>
      <c r="F36" s="184"/>
      <c r="G36" s="184"/>
      <c r="H36" s="186"/>
      <c r="I36" s="274"/>
      <c r="J36" s="120" t="str">
        <f>IF(ISBLANK(J35),"",IFERROR(_xlfn.XLOOKUP(J35,'List of Teams'!$B$2:$B$65,'List of Teams'!$C$2:$C$65),""))</f>
        <v>team 3</v>
      </c>
      <c r="K36" s="121"/>
      <c r="L36" s="184"/>
      <c r="M36" s="184"/>
      <c r="N36" s="184"/>
      <c r="O36" s="184"/>
      <c r="P36" s="184"/>
      <c r="Q36" s="184"/>
      <c r="R36" s="133"/>
    </row>
    <row r="37" spans="1:18" ht="20.100000000000001" customHeight="1" thickBot="1" x14ac:dyDescent="0.3">
      <c r="A37" s="114"/>
      <c r="B37" s="114"/>
      <c r="C37" s="185"/>
      <c r="D37" s="184"/>
      <c r="E37" s="184"/>
      <c r="F37" s="184"/>
      <c r="G37" s="127"/>
      <c r="H37" s="123" t="str">
        <f>IF(J40="Bye",J40,IF(OR(ISBLANK(J35),ISBLANK(J40)),"",IF(OR(ISBLANK(K35),ISBLANK(K40)),"",IF(K35&lt;K40,J35,J40))))</f>
        <v>Bye</v>
      </c>
      <c r="I37" s="275"/>
      <c r="J37" s="124" t="s">
        <v>44</v>
      </c>
      <c r="K37" s="125"/>
      <c r="L37" s="126" t="str">
        <f>IF(J40="Bye",J35,IF(OR(ISBLANK(J35),ISBLANK(J40)),"",IF(OR(ISBLANK(K35),ISBLANK(K40)),"",IF(K35&gt;K40,J35,J40))))</f>
        <v>University of team 3</v>
      </c>
      <c r="M37" s="127"/>
      <c r="N37" s="184"/>
      <c r="O37" s="184"/>
      <c r="P37" s="184"/>
      <c r="Q37" s="184"/>
      <c r="R37" s="133"/>
    </row>
    <row r="38" spans="1:18" ht="20.100000000000001" customHeight="1" thickTop="1" x14ac:dyDescent="0.35">
      <c r="A38" s="114"/>
      <c r="B38" s="114"/>
      <c r="C38" s="185"/>
      <c r="D38" s="184"/>
      <c r="E38" s="184"/>
      <c r="F38" s="184"/>
      <c r="G38" s="128"/>
      <c r="H38" s="129" t="str">
        <f>IF(H37="","",IF(K35&lt;K40,K35&amp;"-"&amp;K40,K40&amp;"-"&amp;K35))</f>
        <v>-</v>
      </c>
      <c r="I38" s="277"/>
      <c r="J38" s="130" t="s">
        <v>32</v>
      </c>
      <c r="K38" s="125"/>
      <c r="L38" s="131" t="str">
        <f>IF(L37="","",IF(K35&gt;K40,K35&amp;"-"&amp;K40,K40&amp;"-"&amp;K35))</f>
        <v>-</v>
      </c>
      <c r="M38" s="132"/>
      <c r="N38" s="185"/>
      <c r="O38" s="184"/>
      <c r="P38" s="184"/>
      <c r="Q38" s="184"/>
      <c r="R38" s="133"/>
    </row>
    <row r="39" spans="1:18" ht="20.100000000000001" customHeight="1" thickBot="1" x14ac:dyDescent="0.3">
      <c r="A39" s="114"/>
      <c r="B39" s="114"/>
      <c r="C39" s="185"/>
      <c r="D39" s="184"/>
      <c r="E39" s="184"/>
      <c r="F39" s="184"/>
      <c r="G39" s="134"/>
      <c r="H39" s="135"/>
      <c r="I39" s="276"/>
      <c r="J39" s="136" t="str">
        <f>IF(ISBLANK(J40),"",IFERROR(_xlfn.XLOOKUP(J40,'List of Teams'!$B$2:$B$65,'List of Teams'!$C$2:$C$65),""))</f>
        <v/>
      </c>
      <c r="K39" s="137"/>
      <c r="L39" s="132"/>
      <c r="M39" s="132"/>
      <c r="N39" s="185"/>
      <c r="O39" s="184"/>
      <c r="P39" s="184"/>
      <c r="Q39" s="184"/>
      <c r="R39" s="133"/>
    </row>
    <row r="40" spans="1:18" ht="20.100000000000001" customHeight="1" thickTop="1" x14ac:dyDescent="0.25">
      <c r="A40" s="114"/>
      <c r="B40" s="114"/>
      <c r="C40" s="185"/>
      <c r="D40" s="184"/>
      <c r="E40" s="184"/>
      <c r="F40" s="184"/>
      <c r="G40" s="134"/>
      <c r="H40" s="132"/>
      <c r="I40" s="273">
        <v>14</v>
      </c>
      <c r="J40" s="117" t="s">
        <v>222</v>
      </c>
      <c r="K40" s="138"/>
      <c r="L40" s="132"/>
      <c r="M40" s="132"/>
      <c r="N40" s="185"/>
      <c r="O40" s="184"/>
      <c r="P40" s="184"/>
      <c r="Q40" s="184"/>
      <c r="R40" s="133"/>
    </row>
    <row r="41" spans="1:18" ht="20.100000000000001" customHeight="1" thickBot="1" x14ac:dyDescent="0.3">
      <c r="A41" s="114"/>
      <c r="B41" s="114"/>
      <c r="C41" s="185"/>
      <c r="D41" s="184"/>
      <c r="E41" s="144"/>
      <c r="F41" s="140" t="str">
        <f>IF(H46="Bye",H37,IF(OR(ISBLANK(H37),ISBLANK(H46)),"",IF(OR(ISBLANK(G37),ISBLANK(G46)),"",IF(G37&gt;G46,H37,H46))))</f>
        <v>Bye</v>
      </c>
      <c r="G41" s="134"/>
      <c r="H41" s="141" t="s">
        <v>51</v>
      </c>
      <c r="I41" s="142"/>
      <c r="J41" s="132"/>
      <c r="K41" s="132"/>
      <c r="L41" s="141" t="s">
        <v>38</v>
      </c>
      <c r="M41" s="132"/>
      <c r="N41" s="143" t="str">
        <f>IF(L46="Bye",L37,IF(OR(ISBLANK(L37),ISBLANK(L46)),"",IF(OR(ISBLANK(M37),ISBLANK(M46)),"",IF(M37&gt;M46,L37,L46))))</f>
        <v/>
      </c>
      <c r="O41" s="144"/>
      <c r="P41" s="184"/>
      <c r="Q41" s="184"/>
      <c r="R41" s="133"/>
    </row>
    <row r="42" spans="1:18" ht="20.100000000000001" customHeight="1" thickTop="1" x14ac:dyDescent="0.35">
      <c r="A42" s="114"/>
      <c r="B42" s="114"/>
      <c r="C42" s="185"/>
      <c r="D42" s="184"/>
      <c r="E42" s="145"/>
      <c r="F42" s="146" t="str">
        <f>IF(F41="","",IF(G37&gt;G46,G37&amp;"-"&amp;G46,G46&amp;"-"&amp;G37))</f>
        <v>-</v>
      </c>
      <c r="G42" s="134"/>
      <c r="H42" s="147" t="s">
        <v>32</v>
      </c>
      <c r="I42" s="142"/>
      <c r="J42" s="132"/>
      <c r="K42" s="132"/>
      <c r="L42" s="147" t="s">
        <v>32</v>
      </c>
      <c r="M42" s="132"/>
      <c r="N42" s="148" t="str">
        <f>IF(N41="","",IF(M37&gt;M46,M37&amp;"-"&amp;M46,M46&amp;"-"&amp;M37))</f>
        <v/>
      </c>
      <c r="O42" s="149"/>
      <c r="P42" s="185"/>
      <c r="Q42" s="184"/>
      <c r="R42" s="133"/>
    </row>
    <row r="43" spans="1:18" ht="20.100000000000001" customHeight="1" thickBot="1" x14ac:dyDescent="0.3">
      <c r="A43" s="114"/>
      <c r="B43" s="114"/>
      <c r="C43" s="185"/>
      <c r="D43" s="184"/>
      <c r="E43" s="150"/>
      <c r="F43" s="149"/>
      <c r="G43" s="134"/>
      <c r="H43" s="132"/>
      <c r="I43" s="273">
        <v>6</v>
      </c>
      <c r="J43" s="117" t="s">
        <v>143</v>
      </c>
      <c r="K43" s="118"/>
      <c r="L43" s="132"/>
      <c r="M43" s="132"/>
      <c r="N43" s="150"/>
      <c r="O43" s="149"/>
      <c r="P43" s="185"/>
      <c r="Q43" s="184"/>
      <c r="R43" s="133"/>
    </row>
    <row r="44" spans="1:18" ht="20.100000000000001" customHeight="1" thickTop="1" x14ac:dyDescent="0.25">
      <c r="A44" s="114"/>
      <c r="B44" s="114"/>
      <c r="C44" s="185"/>
      <c r="D44" s="184"/>
      <c r="E44" s="150"/>
      <c r="F44" s="149"/>
      <c r="G44" s="134"/>
      <c r="H44" s="135"/>
      <c r="I44" s="274"/>
      <c r="J44" s="120" t="str">
        <f>IF(ISBLANK(J43),"",IFERROR(_xlfn.XLOOKUP(J43,'List of Teams'!$B$2:$B$65,'List of Teams'!$C$2:$C$65),""))</f>
        <v>team 7</v>
      </c>
      <c r="K44" s="121"/>
      <c r="L44" s="132"/>
      <c r="M44" s="132"/>
      <c r="N44" s="150"/>
      <c r="O44" s="149"/>
      <c r="P44" s="185"/>
      <c r="Q44" s="184"/>
      <c r="R44" s="133"/>
    </row>
    <row r="45" spans="1:18" ht="20.100000000000001" customHeight="1" thickBot="1" x14ac:dyDescent="0.3">
      <c r="A45" s="114"/>
      <c r="B45" s="114"/>
      <c r="C45" s="185"/>
      <c r="D45" s="184"/>
      <c r="E45" s="150"/>
      <c r="F45" s="149"/>
      <c r="G45" s="151"/>
      <c r="H45" s="152" t="str">
        <f>IF(H46="","",IF(K43&lt;K48,K43&amp;"-"&amp;K48,K48&amp;"-"&amp;K43))</f>
        <v>-</v>
      </c>
      <c r="I45" s="273"/>
      <c r="J45" s="124" t="s">
        <v>45</v>
      </c>
      <c r="K45" s="125"/>
      <c r="L45" s="131" t="str">
        <f>IF(L46="","",IF(K43&gt;K48,K43&amp;"-"&amp;K48,K48&amp;"-"&amp;K43))</f>
        <v>-</v>
      </c>
      <c r="M45" s="153"/>
      <c r="N45" s="150"/>
      <c r="O45" s="149"/>
      <c r="P45" s="185"/>
      <c r="Q45" s="184"/>
      <c r="R45" s="133"/>
    </row>
    <row r="46" spans="1:18" ht="20.100000000000001" customHeight="1" thickTop="1" x14ac:dyDescent="0.35">
      <c r="A46" s="114"/>
      <c r="B46" s="114"/>
      <c r="C46" s="185"/>
      <c r="D46" s="184"/>
      <c r="E46" s="150"/>
      <c r="F46" s="149"/>
      <c r="G46" s="154"/>
      <c r="H46" s="155" t="str">
        <f>IF(J48="Bye",J48,IF(OR(ISBLANK(J43),ISBLANK(J48)),"",IF(OR(ISBLANK(K43),ISBLANK(K48)),"",IF(K43&lt;K48,J43,J48))))</f>
        <v>Bye</v>
      </c>
      <c r="I46" s="275"/>
      <c r="J46" s="130" t="s">
        <v>32</v>
      </c>
      <c r="K46" s="125"/>
      <c r="L46" s="156" t="str">
        <f>IF(J48="Bye",J43,IF(OR(ISBLANK(J43),ISBLANK(J48)),"",IF(OR(ISBLANK(K43),ISBLANK(K48)),"",IF(K43&gt;K48,J43,J48))))</f>
        <v>University of team 7</v>
      </c>
      <c r="M46" s="154"/>
      <c r="N46" s="149"/>
      <c r="O46" s="149"/>
      <c r="P46" s="185"/>
      <c r="Q46" s="184"/>
      <c r="R46" s="133"/>
    </row>
    <row r="47" spans="1:18" ht="20.100000000000001" customHeight="1" thickBot="1" x14ac:dyDescent="0.3">
      <c r="A47" s="114"/>
      <c r="B47" s="114"/>
      <c r="C47" s="185"/>
      <c r="D47" s="184"/>
      <c r="E47" s="150"/>
      <c r="F47" s="149"/>
      <c r="G47" s="149"/>
      <c r="H47" s="157"/>
      <c r="I47" s="276"/>
      <c r="J47" s="136" t="str">
        <f>IF(ISBLANK(J48),"",IFERROR(_xlfn.XLOOKUP(J48,'List of Teams'!$B$2:$B$65,'List of Teams'!$C$2:$C$65),""))</f>
        <v/>
      </c>
      <c r="K47" s="137"/>
      <c r="L47" s="149"/>
      <c r="M47" s="149"/>
      <c r="N47" s="149"/>
      <c r="O47" s="149"/>
      <c r="P47" s="185"/>
      <c r="Q47" s="184"/>
      <c r="R47" s="133"/>
    </row>
    <row r="48" spans="1:18" ht="20.100000000000001" customHeight="1" thickTop="1" x14ac:dyDescent="0.25">
      <c r="A48" s="114"/>
      <c r="B48" s="114"/>
      <c r="C48" s="185"/>
      <c r="D48" s="184"/>
      <c r="E48" s="150"/>
      <c r="F48" s="149"/>
      <c r="G48" s="149"/>
      <c r="H48" s="149"/>
      <c r="I48" s="273">
        <v>11</v>
      </c>
      <c r="J48" s="117" t="s">
        <v>222</v>
      </c>
      <c r="K48" s="138"/>
      <c r="L48" s="149"/>
      <c r="M48" s="149"/>
      <c r="N48" s="149"/>
      <c r="O48" s="149"/>
      <c r="P48" s="185"/>
      <c r="Q48" s="184"/>
      <c r="R48" s="133"/>
    </row>
    <row r="49" spans="1:18" ht="20.100000000000001" customHeight="1" thickBot="1" x14ac:dyDescent="0.3">
      <c r="A49" s="114"/>
      <c r="B49" s="114"/>
      <c r="C49" s="189"/>
      <c r="D49" s="190" t="str">
        <f>IF(D50="","",IF(E41&gt;E58,E41&amp;"-"&amp;E58,E58&amp;"-"&amp;E41))</f>
        <v/>
      </c>
      <c r="E49" s="150"/>
      <c r="F49" s="159" t="s">
        <v>54</v>
      </c>
      <c r="G49" s="149"/>
      <c r="H49" s="149"/>
      <c r="I49" s="149"/>
      <c r="J49" s="149"/>
      <c r="K49" s="149"/>
      <c r="L49" s="149"/>
      <c r="M49" s="149"/>
      <c r="N49" s="159" t="s">
        <v>35</v>
      </c>
      <c r="O49" s="149"/>
      <c r="P49" s="191" t="str">
        <f>IF(P50="","",IF(O41&gt;O58,O41&amp;"-"&amp;O58,O58&amp;"-"&amp;O41))</f>
        <v/>
      </c>
      <c r="Q49" s="192"/>
      <c r="R49" s="133"/>
    </row>
    <row r="50" spans="1:18" ht="20.100000000000001" customHeight="1" thickTop="1" x14ac:dyDescent="0.35">
      <c r="A50" s="114"/>
      <c r="B50" s="114"/>
      <c r="C50" s="193"/>
      <c r="D50" s="194" t="str">
        <f>IF(F58="Bye",F41,IF(OR(ISBLANK(F41),ISBLANK(F58)),"",IF(OR(ISBLANK(E41),ISBLANK(E58)),"",IF(E41&gt;E58,F41,F58))))</f>
        <v/>
      </c>
      <c r="E50" s="150"/>
      <c r="F50" s="161" t="s">
        <v>32</v>
      </c>
      <c r="G50" s="149"/>
      <c r="H50" s="149"/>
      <c r="I50" s="149"/>
      <c r="J50" s="149"/>
      <c r="K50" s="149"/>
      <c r="L50" s="149"/>
      <c r="M50" s="149"/>
      <c r="N50" s="161" t="s">
        <v>32</v>
      </c>
      <c r="O50" s="149"/>
      <c r="P50" s="195" t="str">
        <f>IF(N58="Bye",N41,IF(OR(ISBLANK(N41),ISBLANK(N58)),"",IF(OR(ISBLANK(O41),ISBLANK(O58)),"",IF(O41&gt;O58,N41,N58))))</f>
        <v/>
      </c>
      <c r="Q50" s="193"/>
      <c r="R50" s="114"/>
    </row>
    <row r="51" spans="1:18" ht="20.100000000000001" customHeight="1" thickBot="1" x14ac:dyDescent="0.3">
      <c r="A51" s="114"/>
      <c r="B51" s="114"/>
      <c r="C51" s="114"/>
      <c r="D51" s="114"/>
      <c r="E51" s="150"/>
      <c r="F51" s="149"/>
      <c r="G51" s="149"/>
      <c r="H51" s="149"/>
      <c r="I51" s="273">
        <v>7</v>
      </c>
      <c r="J51" s="117" t="s">
        <v>151</v>
      </c>
      <c r="K51" s="118"/>
      <c r="L51" s="149"/>
      <c r="M51" s="149"/>
      <c r="N51" s="149"/>
      <c r="O51" s="149"/>
      <c r="P51" s="133"/>
      <c r="Q51" s="114"/>
      <c r="R51" s="114"/>
    </row>
    <row r="52" spans="1:18" ht="20.100000000000001" customHeight="1" thickTop="1" x14ac:dyDescent="0.25">
      <c r="A52" s="114"/>
      <c r="B52" s="114"/>
      <c r="C52" s="114"/>
      <c r="D52" s="114"/>
      <c r="E52" s="150"/>
      <c r="F52" s="149"/>
      <c r="G52" s="149"/>
      <c r="H52" s="157"/>
      <c r="I52" s="274"/>
      <c r="J52" s="120" t="str">
        <f>IF(ISBLANK(J51),"",IFERROR(_xlfn.XLOOKUP(J51,'List of Teams'!$B$2:$B$65,'List of Teams'!$C$2:$C$65),""))</f>
        <v>team 15</v>
      </c>
      <c r="K52" s="121"/>
      <c r="L52" s="149"/>
      <c r="M52" s="149"/>
      <c r="N52" s="149"/>
      <c r="O52" s="149"/>
      <c r="P52" s="133"/>
      <c r="Q52" s="114"/>
      <c r="R52" s="114"/>
    </row>
    <row r="53" spans="1:18" ht="20.100000000000001" customHeight="1" thickBot="1" x14ac:dyDescent="0.3">
      <c r="A53" s="114"/>
      <c r="B53" s="114"/>
      <c r="C53" s="114"/>
      <c r="D53" s="114"/>
      <c r="E53" s="150"/>
      <c r="F53" s="149"/>
      <c r="G53" s="127"/>
      <c r="H53" s="123" t="str">
        <f>IF(J56="Bye",J56,IF(OR(ISBLANK(J51),ISBLANK(J56)),"",IF(OR(ISBLANK(K51),ISBLANK(K56)),"",IF(K51&lt;K56,J51,J56))))</f>
        <v/>
      </c>
      <c r="I53" s="275"/>
      <c r="J53" s="124" t="s">
        <v>46</v>
      </c>
      <c r="K53" s="125"/>
      <c r="L53" s="126" t="str">
        <f>IF(J56="Bye",J51,IF(OR(ISBLANK(J51),ISBLANK(J56)),"",IF(OR(ISBLANK(K51),ISBLANK(K56)),"",IF(K51&gt;K56,J51,J56))))</f>
        <v/>
      </c>
      <c r="M53" s="127"/>
      <c r="N53" s="149"/>
      <c r="O53" s="149"/>
      <c r="P53" s="133"/>
      <c r="Q53" s="114"/>
      <c r="R53" s="114"/>
    </row>
    <row r="54" spans="1:18" ht="20.100000000000001" customHeight="1" thickTop="1" x14ac:dyDescent="0.35">
      <c r="A54" s="114"/>
      <c r="B54" s="114"/>
      <c r="C54" s="114"/>
      <c r="D54" s="114"/>
      <c r="E54" s="150"/>
      <c r="F54" s="149"/>
      <c r="G54" s="128"/>
      <c r="H54" s="129" t="str">
        <f>IF(H53="","",IF(K51&lt;K56,K51&amp;"-"&amp;K56,K56&amp;"-"&amp;K51))</f>
        <v/>
      </c>
      <c r="I54" s="273"/>
      <c r="J54" s="130" t="s">
        <v>32</v>
      </c>
      <c r="K54" s="125"/>
      <c r="L54" s="131" t="str">
        <f>IF(L53="","",IF(K51&gt;K56,K51&amp;"-"&amp;K56,K56&amp;"-"&amp;K51))</f>
        <v/>
      </c>
      <c r="M54" s="132"/>
      <c r="N54" s="150"/>
      <c r="O54" s="149"/>
      <c r="P54" s="133"/>
      <c r="Q54" s="114"/>
      <c r="R54" s="114"/>
    </row>
    <row r="55" spans="1:18" ht="20.100000000000001" customHeight="1" thickBot="1" x14ac:dyDescent="0.3">
      <c r="A55" s="114"/>
      <c r="B55" s="114"/>
      <c r="C55" s="114"/>
      <c r="D55" s="114"/>
      <c r="E55" s="150"/>
      <c r="F55" s="149"/>
      <c r="G55" s="134"/>
      <c r="H55" s="135"/>
      <c r="I55" s="276"/>
      <c r="J55" s="136" t="str">
        <f>IF(ISBLANK(J56),"",IFERROR(_xlfn.XLOOKUP(J56,'List of Teams'!$B$2:$B$65,'List of Teams'!$C$2:$C$65),""))</f>
        <v>team 17</v>
      </c>
      <c r="K55" s="137"/>
      <c r="L55" s="132"/>
      <c r="M55" s="132"/>
      <c r="N55" s="150"/>
      <c r="O55" s="149"/>
      <c r="P55" s="133"/>
      <c r="Q55" s="114"/>
      <c r="R55" s="114"/>
    </row>
    <row r="56" spans="1:18" ht="20.100000000000001" customHeight="1" thickTop="1" x14ac:dyDescent="0.25">
      <c r="A56" s="114"/>
      <c r="B56" s="114"/>
      <c r="C56" s="114"/>
      <c r="D56" s="114"/>
      <c r="E56" s="150"/>
      <c r="F56" s="149"/>
      <c r="G56" s="134"/>
      <c r="H56" s="132"/>
      <c r="I56" s="273">
        <v>10</v>
      </c>
      <c r="J56" s="117" t="s">
        <v>153</v>
      </c>
      <c r="K56" s="138"/>
      <c r="L56" s="132"/>
      <c r="M56" s="132"/>
      <c r="N56" s="150"/>
      <c r="O56" s="149"/>
      <c r="P56" s="133"/>
      <c r="Q56" s="114"/>
      <c r="R56" s="114"/>
    </row>
    <row r="57" spans="1:18" ht="20.100000000000001" customHeight="1" thickBot="1" x14ac:dyDescent="0.3">
      <c r="A57" s="114"/>
      <c r="B57" s="114"/>
      <c r="C57" s="114"/>
      <c r="D57" s="114"/>
      <c r="E57" s="163"/>
      <c r="F57" s="164" t="str">
        <f>IF(F58="","",IF(G53&gt;G62,G53&amp;"-"&amp;G62,G62&amp;"-"&amp;G53))</f>
        <v/>
      </c>
      <c r="G57" s="134"/>
      <c r="H57" s="141" t="s">
        <v>50</v>
      </c>
      <c r="I57" s="142"/>
      <c r="J57" s="132"/>
      <c r="K57" s="132"/>
      <c r="L57" s="141" t="s">
        <v>39</v>
      </c>
      <c r="M57" s="132"/>
      <c r="N57" s="165" t="str">
        <f>IF(N58="","",IF(M53&gt;M62,M53&amp;"-"&amp;M62,M62&amp;"-"&amp;M53))</f>
        <v/>
      </c>
      <c r="O57" s="166"/>
      <c r="P57" s="133"/>
      <c r="Q57" s="114"/>
      <c r="R57" s="114"/>
    </row>
    <row r="58" spans="1:18" ht="20.100000000000001" customHeight="1" thickTop="1" x14ac:dyDescent="0.35">
      <c r="A58" s="114"/>
      <c r="B58" s="114"/>
      <c r="C58" s="114"/>
      <c r="D58" s="114"/>
      <c r="E58" s="167"/>
      <c r="F58" s="168" t="str">
        <f>IF(H62="Bye",H53,IF(OR(ISBLANK(H53),ISBLANK(H62)),"",IF(OR(ISBLANK(G53),ISBLANK(G62)),"",IF(G53&gt;G62,H53,H62))))</f>
        <v/>
      </c>
      <c r="G58" s="134"/>
      <c r="H58" s="147" t="s">
        <v>32</v>
      </c>
      <c r="I58" s="142"/>
      <c r="J58" s="132"/>
      <c r="K58" s="132"/>
      <c r="L58" s="147" t="s">
        <v>32</v>
      </c>
      <c r="M58" s="132"/>
      <c r="N58" s="169" t="str">
        <f>IF(L62="Bye",L53,IF(OR(ISBLANK(L53),ISBLANK(L62)),"",IF(OR(ISBLANK(M53),ISBLANK(M62)),"",IF(M53&gt;M62,L53,L62))))</f>
        <v/>
      </c>
      <c r="O58" s="167"/>
      <c r="P58" s="114"/>
      <c r="Q58" s="114"/>
      <c r="R58" s="114"/>
    </row>
    <row r="59" spans="1:18" ht="20.100000000000001" customHeight="1" thickBot="1" x14ac:dyDescent="0.3">
      <c r="A59" s="114"/>
      <c r="B59" s="114"/>
      <c r="C59" s="114"/>
      <c r="D59" s="114"/>
      <c r="E59" s="114"/>
      <c r="F59" s="114"/>
      <c r="G59" s="134"/>
      <c r="H59" s="132"/>
      <c r="I59" s="273">
        <v>2</v>
      </c>
      <c r="J59" s="117" t="s">
        <v>155</v>
      </c>
      <c r="K59" s="118"/>
      <c r="L59" s="132"/>
      <c r="M59" s="132"/>
      <c r="N59" s="133"/>
      <c r="O59" s="114"/>
      <c r="P59" s="114"/>
      <c r="Q59" s="114"/>
      <c r="R59" s="114"/>
    </row>
    <row r="60" spans="1:18" ht="20.100000000000001" customHeight="1" thickTop="1" thickBot="1" x14ac:dyDescent="0.3">
      <c r="A60" s="114"/>
      <c r="B60" s="114"/>
      <c r="C60" s="114"/>
      <c r="D60" s="114"/>
      <c r="E60" s="114"/>
      <c r="F60" s="114"/>
      <c r="G60" s="134"/>
      <c r="H60" s="135"/>
      <c r="I60" s="274"/>
      <c r="J60" s="120" t="str">
        <f>IF(ISBLANK(J59),"",IFERROR(_xlfn.XLOOKUP(J59,'List of Teams'!$B$2:$B$65,'List of Teams'!$C$2:$C$65),""))</f>
        <v>team 19</v>
      </c>
      <c r="K60" s="121"/>
      <c r="L60" s="132"/>
      <c r="M60" s="132"/>
      <c r="N60" s="133"/>
      <c r="O60" s="114"/>
      <c r="P60" s="196" t="str">
        <f>IF(N26="Bye",N26,IF(OR(ISBLANK(N9),ISBLANK(N26)),"",IF(OR(ISBLANK(O9),ISBLANK(O26)),"",IF(O9&lt;O26,N9,N26))))</f>
        <v/>
      </c>
      <c r="Q60" s="178"/>
      <c r="R60" s="114"/>
    </row>
    <row r="61" spans="1:18" ht="20.100000000000001" customHeight="1" thickTop="1" thickBot="1" x14ac:dyDescent="0.3">
      <c r="A61" s="114"/>
      <c r="B61" s="114"/>
      <c r="C61" s="114"/>
      <c r="D61" s="114"/>
      <c r="E61" s="114"/>
      <c r="F61" s="114"/>
      <c r="G61" s="151"/>
      <c r="H61" s="152" t="str">
        <f>IF(H62="","",IF(K59&lt;K64,K59&amp;"-"&amp;K64,K64&amp;"-"&amp;K59))</f>
        <v>-</v>
      </c>
      <c r="I61" s="273"/>
      <c r="J61" s="124" t="s">
        <v>47</v>
      </c>
      <c r="K61" s="125"/>
      <c r="L61" s="131" t="str">
        <f>IF(L62="","",IF(K59&gt;K64,K59&amp;"-"&amp;K64,K64&amp;"-"&amp;K59))</f>
        <v>-</v>
      </c>
      <c r="M61" s="153"/>
      <c r="N61" s="133"/>
      <c r="O61" s="114"/>
      <c r="P61" s="197"/>
      <c r="Q61" s="198"/>
      <c r="R61" s="114"/>
    </row>
    <row r="62" spans="1:18" ht="20.100000000000001" customHeight="1" thickTop="1" thickBot="1" x14ac:dyDescent="0.4">
      <c r="A62" s="114"/>
      <c r="B62" s="114"/>
      <c r="C62" s="114"/>
      <c r="D62" s="114"/>
      <c r="E62" s="114"/>
      <c r="F62" s="114"/>
      <c r="G62" s="154"/>
      <c r="H62" s="155" t="str">
        <f>IF(J64="Bye",J64,IF(OR(ISBLANK(J59),ISBLANK(J64)),"",IF(OR(ISBLANK(K59),ISBLANK(K64)),"",IF(K59&lt;K64,J59,J64))))</f>
        <v>Bye</v>
      </c>
      <c r="I62" s="275"/>
      <c r="J62" s="130" t="s">
        <v>32</v>
      </c>
      <c r="K62" s="125"/>
      <c r="L62" s="156" t="str">
        <f>IF(J64="Bye",J59,IF(OR(ISBLANK(J59),ISBLANK(J64)),"",IF(OR(ISBLANK(K59),ISBLANK(K64)),"",IF(K59&gt;K64,J59,J64))))</f>
        <v>University of team 19</v>
      </c>
      <c r="M62" s="154"/>
      <c r="N62" s="114"/>
      <c r="O62" s="114"/>
      <c r="P62" s="187" t="s">
        <v>48</v>
      </c>
      <c r="Q62" s="186"/>
      <c r="R62" s="189"/>
    </row>
    <row r="63" spans="1:18" ht="20.100000000000001" customHeight="1" thickTop="1" thickBot="1" x14ac:dyDescent="0.4">
      <c r="A63" s="114"/>
      <c r="B63" s="114"/>
      <c r="C63" s="114"/>
      <c r="D63" s="114"/>
      <c r="E63" s="114"/>
      <c r="F63" s="114"/>
      <c r="G63" s="114"/>
      <c r="H63" s="119"/>
      <c r="I63" s="276"/>
      <c r="J63" s="136" t="str">
        <f>IF(ISBLANK(J64),"",IFERROR(_xlfn.XLOOKUP(J64,'List of Teams'!$B$2:$B$65,'List of Teams'!$C$2:$C$65),""))</f>
        <v/>
      </c>
      <c r="K63" s="137"/>
      <c r="L63" s="114"/>
      <c r="M63" s="114"/>
      <c r="N63" s="114"/>
      <c r="O63" s="114"/>
      <c r="P63" s="188" t="s">
        <v>32</v>
      </c>
      <c r="Q63" s="186"/>
      <c r="R63" s="114"/>
    </row>
    <row r="64" spans="1:18" ht="20.100000000000001" customHeight="1" thickTop="1" thickBot="1" x14ac:dyDescent="0.3">
      <c r="A64" s="114"/>
      <c r="B64" s="114"/>
      <c r="C64" s="114"/>
      <c r="D64" s="114"/>
      <c r="E64" s="114"/>
      <c r="F64" s="114"/>
      <c r="G64" s="114"/>
      <c r="H64" s="114"/>
      <c r="I64" s="273">
        <v>15</v>
      </c>
      <c r="J64" s="117" t="s">
        <v>222</v>
      </c>
      <c r="K64" s="138"/>
      <c r="L64" s="114"/>
      <c r="M64" s="114"/>
      <c r="N64" s="114"/>
      <c r="O64" s="114"/>
      <c r="P64" s="199"/>
      <c r="Q64" s="200"/>
      <c r="R64" s="114"/>
    </row>
    <row r="65" spans="1:18" ht="20.100000000000001" customHeight="1" thickTop="1" x14ac:dyDescent="0.25">
      <c r="A65" s="114"/>
      <c r="B65" s="114"/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201" t="str">
        <f>IF(N58="Bye",N58,IF(OR(ISBLANK(N41),ISBLANK(N58)),"",IF(OR(ISBLANK(O41),ISBLANK(O58)),"",IF(O41&lt;O58,N41,N58))))</f>
        <v/>
      </c>
      <c r="Q65" s="193"/>
      <c r="R65" s="114"/>
    </row>
    <row r="66" spans="1:18" ht="20.100000000000001" customHeight="1" x14ac:dyDescent="0.25"/>
    <row r="67" spans="1:18" ht="20.100000000000001" customHeight="1" x14ac:dyDescent="0.25"/>
    <row r="68" spans="1:18" ht="20.100000000000001" customHeight="1" x14ac:dyDescent="0.25"/>
    <row r="69" spans="1:18" ht="20.100000000000001" customHeight="1" x14ac:dyDescent="0.25"/>
    <row r="70" spans="1:18" ht="20.100000000000001" customHeight="1" x14ac:dyDescent="0.25"/>
    <row r="71" spans="1:18" ht="20.100000000000001" customHeight="1" x14ac:dyDescent="0.25"/>
    <row r="72" spans="1:18" ht="20.100000000000001" customHeight="1" x14ac:dyDescent="0.25"/>
    <row r="73" spans="1:18" ht="20.100000000000001" customHeight="1" x14ac:dyDescent="0.25"/>
    <row r="74" spans="1:18" ht="20.100000000000001" customHeight="1" x14ac:dyDescent="0.25"/>
    <row r="75" spans="1:18" ht="20.100000000000001" customHeight="1" x14ac:dyDescent="0.25"/>
    <row r="76" spans="1:18" ht="20.100000000000001" customHeight="1" x14ac:dyDescent="0.25"/>
    <row r="77" spans="1:18" ht="20.100000000000001" customHeight="1" x14ac:dyDescent="0.25"/>
    <row r="78" spans="1:18" ht="20.100000000000001" customHeight="1" x14ac:dyDescent="0.25"/>
    <row r="79" spans="1:18" ht="20.100000000000001" customHeight="1" x14ac:dyDescent="0.25"/>
    <row r="80" spans="1:18" ht="20.100000000000001" customHeight="1" x14ac:dyDescent="0.25"/>
    <row r="81" s="45" customFormat="1" ht="20.100000000000001" customHeight="1" x14ac:dyDescent="0.25"/>
    <row r="82" s="45" customFormat="1" ht="20.100000000000001" customHeight="1" x14ac:dyDescent="0.25"/>
    <row r="83" s="45" customFormat="1" ht="20.100000000000001" customHeight="1" x14ac:dyDescent="0.25"/>
    <row r="84" s="45" customFormat="1" ht="20.100000000000001" customHeight="1" x14ac:dyDescent="0.25"/>
    <row r="85" s="45" customFormat="1" ht="20.100000000000001" customHeight="1" x14ac:dyDescent="0.25"/>
    <row r="86" s="45" customFormat="1" ht="20.100000000000001" customHeight="1" x14ac:dyDescent="0.25"/>
    <row r="87" s="45" customFormat="1" ht="20.100000000000001" customHeight="1" x14ac:dyDescent="0.25"/>
    <row r="88" s="45" customFormat="1" ht="20.100000000000001" customHeight="1" x14ac:dyDescent="0.25"/>
    <row r="89" s="45" customFormat="1" ht="20.100000000000001" customHeight="1" x14ac:dyDescent="0.25"/>
    <row r="90" s="45" customFormat="1" ht="20.100000000000001" customHeight="1" x14ac:dyDescent="0.25"/>
    <row r="91" s="45" customFormat="1" ht="20.100000000000001" customHeight="1" x14ac:dyDescent="0.25"/>
    <row r="92" s="45" customFormat="1" ht="20.100000000000001" customHeight="1" x14ac:dyDescent="0.25"/>
    <row r="93" s="45" customFormat="1" ht="20.100000000000001" customHeight="1" x14ac:dyDescent="0.25"/>
    <row r="94" s="45" customFormat="1" ht="20.100000000000001" customHeight="1" x14ac:dyDescent="0.25"/>
    <row r="95" s="45" customFormat="1" ht="20.100000000000001" customHeight="1" x14ac:dyDescent="0.25"/>
    <row r="96" s="45" customFormat="1" ht="20.100000000000001" customHeight="1" x14ac:dyDescent="0.25"/>
    <row r="97" s="45" customFormat="1" ht="20.100000000000001" customHeight="1" x14ac:dyDescent="0.25"/>
    <row r="98" s="45" customFormat="1" ht="20.100000000000001" customHeight="1" x14ac:dyDescent="0.25"/>
    <row r="99" s="45" customFormat="1" ht="20.100000000000001" customHeight="1" x14ac:dyDescent="0.25"/>
    <row r="100" s="45" customFormat="1" ht="20.100000000000001" customHeight="1" x14ac:dyDescent="0.25"/>
    <row r="101" s="45" customFormat="1" ht="20.100000000000001" customHeight="1" x14ac:dyDescent="0.25"/>
    <row r="102" s="45" customFormat="1" ht="20.100000000000001" customHeight="1" x14ac:dyDescent="0.25"/>
    <row r="103" s="45" customFormat="1" ht="20.100000000000001" customHeight="1" x14ac:dyDescent="0.25"/>
    <row r="104" s="45" customFormat="1" ht="20.100000000000001" customHeight="1" x14ac:dyDescent="0.25"/>
    <row r="105" s="45" customFormat="1" ht="20.100000000000001" customHeight="1" x14ac:dyDescent="0.25"/>
    <row r="106" s="45" customFormat="1" ht="20.100000000000001" customHeight="1" x14ac:dyDescent="0.25"/>
    <row r="107" s="45" customFormat="1" ht="20.100000000000001" customHeight="1" x14ac:dyDescent="0.25"/>
    <row r="108" s="45" customFormat="1" ht="20.100000000000001" customHeight="1" x14ac:dyDescent="0.25"/>
    <row r="109" s="45" customFormat="1" ht="20.100000000000001" customHeight="1" x14ac:dyDescent="0.25"/>
    <row r="110" s="45" customFormat="1" ht="20.100000000000001" customHeight="1" x14ac:dyDescent="0.25"/>
    <row r="111" s="45" customFormat="1" ht="20.100000000000001" customHeight="1" x14ac:dyDescent="0.25"/>
    <row r="112" s="45" customFormat="1" ht="20.100000000000001" customHeight="1" x14ac:dyDescent="0.25"/>
    <row r="113" s="45" customFormat="1" ht="20.100000000000001" customHeight="1" x14ac:dyDescent="0.25"/>
    <row r="114" s="45" customFormat="1" ht="20.100000000000001" customHeight="1" x14ac:dyDescent="0.25"/>
    <row r="115" s="45" customFormat="1" ht="20.100000000000001" customHeight="1" x14ac:dyDescent="0.25"/>
    <row r="116" s="45" customFormat="1" ht="20.100000000000001" customHeight="1" x14ac:dyDescent="0.25"/>
    <row r="117" s="45" customFormat="1" ht="20.100000000000001" customHeight="1" x14ac:dyDescent="0.25"/>
    <row r="118" s="45" customFormat="1" ht="20.100000000000001" customHeight="1" x14ac:dyDescent="0.25"/>
    <row r="119" s="45" customFormat="1" ht="20.100000000000001" customHeight="1" x14ac:dyDescent="0.25"/>
    <row r="120" s="45" customFormat="1" ht="20.100000000000001" customHeight="1" x14ac:dyDescent="0.25"/>
    <row r="121" s="45" customFormat="1" ht="20.100000000000001" customHeight="1" x14ac:dyDescent="0.25"/>
    <row r="122" s="45" customFormat="1" ht="20.100000000000001" customHeight="1" x14ac:dyDescent="0.25"/>
    <row r="123" s="45" customFormat="1" ht="20.100000000000001" customHeight="1" x14ac:dyDescent="0.25"/>
    <row r="124" s="45" customFormat="1" ht="20.100000000000001" customHeight="1" x14ac:dyDescent="0.25"/>
    <row r="125" s="45" customFormat="1" ht="20.100000000000001" customHeight="1" x14ac:dyDescent="0.25"/>
    <row r="126" s="45" customFormat="1" ht="20.100000000000001" customHeight="1" x14ac:dyDescent="0.25"/>
    <row r="127" s="45" customFormat="1" ht="20.100000000000001" customHeight="1" x14ac:dyDescent="0.25"/>
    <row r="128" s="45" customFormat="1" ht="20.100000000000001" customHeight="1" x14ac:dyDescent="0.25"/>
    <row r="129" s="45" customFormat="1" ht="20.100000000000001" customHeight="1" x14ac:dyDescent="0.25"/>
    <row r="130" s="45" customFormat="1" ht="20.100000000000001" customHeight="1" x14ac:dyDescent="0.25"/>
    <row r="131" s="45" customFormat="1" ht="20.100000000000001" customHeight="1" x14ac:dyDescent="0.25"/>
    <row r="132" s="45" customFormat="1" ht="20.100000000000001" customHeight="1" x14ac:dyDescent="0.25"/>
    <row r="133" s="45" customFormat="1" ht="20.100000000000001" customHeight="1" x14ac:dyDescent="0.25"/>
    <row r="134" s="45" customFormat="1" ht="20.100000000000001" customHeight="1" x14ac:dyDescent="0.25"/>
    <row r="135" s="45" customFormat="1" ht="20.100000000000001" customHeight="1" x14ac:dyDescent="0.25"/>
    <row r="136" s="45" customFormat="1" ht="20.100000000000001" customHeight="1" x14ac:dyDescent="0.25"/>
    <row r="137" s="45" customFormat="1" ht="20.100000000000001" customHeight="1" x14ac:dyDescent="0.25"/>
    <row r="138" s="45" customFormat="1" ht="20.100000000000001" customHeight="1" x14ac:dyDescent="0.25"/>
    <row r="139" s="45" customFormat="1" ht="20.100000000000001" customHeight="1" x14ac:dyDescent="0.25"/>
    <row r="140" s="45" customFormat="1" ht="20.100000000000001" customHeight="1" x14ac:dyDescent="0.25"/>
    <row r="141" s="45" customFormat="1" ht="20.100000000000001" customHeight="1" x14ac:dyDescent="0.25"/>
    <row r="142" s="45" customFormat="1" ht="20.100000000000001" customHeight="1" x14ac:dyDescent="0.25"/>
    <row r="143" s="45" customFormat="1" ht="20.100000000000001" customHeight="1" x14ac:dyDescent="0.25"/>
    <row r="144" s="45" customFormat="1" ht="20.100000000000001" customHeight="1" x14ac:dyDescent="0.25"/>
    <row r="145" s="45" customFormat="1" ht="20.100000000000001" customHeight="1" x14ac:dyDescent="0.25"/>
    <row r="146" s="45" customFormat="1" ht="20.100000000000001" customHeight="1" x14ac:dyDescent="0.25"/>
    <row r="147" s="45" customFormat="1" ht="20.100000000000001" customHeight="1" x14ac:dyDescent="0.25"/>
    <row r="148" s="45" customFormat="1" ht="20.100000000000001" customHeight="1" x14ac:dyDescent="0.25"/>
    <row r="149" s="45" customFormat="1" ht="20.100000000000001" customHeight="1" x14ac:dyDescent="0.25"/>
    <row r="150" s="45" customFormat="1" ht="20.100000000000001" customHeight="1" x14ac:dyDescent="0.25"/>
    <row r="151" s="45" customFormat="1" ht="20.100000000000001" customHeight="1" x14ac:dyDescent="0.25"/>
    <row r="152" s="45" customFormat="1" ht="20.100000000000001" customHeight="1" x14ac:dyDescent="0.25"/>
    <row r="153" s="45" customFormat="1" ht="20.100000000000001" customHeight="1" x14ac:dyDescent="0.25"/>
    <row r="154" s="45" customFormat="1" ht="20.100000000000001" customHeight="1" x14ac:dyDescent="0.25"/>
    <row r="155" s="45" customFormat="1" ht="20.100000000000001" customHeight="1" x14ac:dyDescent="0.25"/>
    <row r="156" s="45" customFormat="1" ht="20.100000000000001" customHeight="1" x14ac:dyDescent="0.25"/>
    <row r="157" s="45" customFormat="1" ht="20.100000000000001" customHeight="1" x14ac:dyDescent="0.25"/>
    <row r="158" s="45" customFormat="1" ht="20.100000000000001" customHeight="1" x14ac:dyDescent="0.25"/>
    <row r="159" s="45" customFormat="1" ht="20.100000000000001" customHeight="1" x14ac:dyDescent="0.25"/>
    <row r="160" s="45" customFormat="1" ht="20.100000000000001" customHeight="1" x14ac:dyDescent="0.25"/>
    <row r="161" s="45" customFormat="1" ht="20.100000000000001" customHeight="1" x14ac:dyDescent="0.25"/>
    <row r="162" s="45" customFormat="1" ht="20.100000000000001" customHeight="1" x14ac:dyDescent="0.25"/>
    <row r="163" s="45" customFormat="1" ht="20.100000000000001" customHeight="1" x14ac:dyDescent="0.25"/>
    <row r="164" s="45" customFormat="1" ht="20.100000000000001" customHeight="1" x14ac:dyDescent="0.25"/>
    <row r="165" s="45" customFormat="1" ht="20.100000000000001" customHeight="1" x14ac:dyDescent="0.25"/>
    <row r="166" s="45" customFormat="1" ht="20.100000000000001" customHeight="1" x14ac:dyDescent="0.25"/>
    <row r="167" s="45" customFormat="1" ht="20.100000000000001" customHeight="1" x14ac:dyDescent="0.25"/>
    <row r="168" s="45" customFormat="1" ht="20.100000000000001" customHeight="1" x14ac:dyDescent="0.25"/>
    <row r="169" s="45" customFormat="1" ht="20.100000000000001" customHeight="1" x14ac:dyDescent="0.25"/>
    <row r="170" s="45" customFormat="1" ht="20.100000000000001" customHeight="1" x14ac:dyDescent="0.25"/>
    <row r="171" s="45" customFormat="1" ht="20.100000000000001" customHeight="1" x14ac:dyDescent="0.25"/>
    <row r="172" s="45" customFormat="1" ht="20.100000000000001" customHeight="1" x14ac:dyDescent="0.25"/>
    <row r="173" s="45" customFormat="1" ht="20.100000000000001" customHeight="1" x14ac:dyDescent="0.25"/>
    <row r="174" s="45" customFormat="1" ht="20.100000000000001" customHeight="1" x14ac:dyDescent="0.25"/>
    <row r="175" s="45" customFormat="1" ht="20.100000000000001" customHeight="1" x14ac:dyDescent="0.25"/>
    <row r="176" s="45" customFormat="1" ht="20.100000000000001" customHeight="1" x14ac:dyDescent="0.25"/>
    <row r="177" s="45" customFormat="1" ht="20.100000000000001" customHeight="1" x14ac:dyDescent="0.25"/>
    <row r="178" s="45" customFormat="1" ht="20.100000000000001" customHeight="1" x14ac:dyDescent="0.25"/>
    <row r="179" s="45" customFormat="1" ht="20.100000000000001" customHeight="1" x14ac:dyDescent="0.25"/>
    <row r="180" s="45" customFormat="1" ht="20.100000000000001" customHeight="1" x14ac:dyDescent="0.25"/>
    <row r="181" s="45" customFormat="1" ht="20.100000000000001" customHeight="1" x14ac:dyDescent="0.25"/>
    <row r="182" s="45" customFormat="1" ht="20.100000000000001" customHeight="1" x14ac:dyDescent="0.25"/>
    <row r="183" s="45" customFormat="1" ht="20.100000000000001" customHeight="1" x14ac:dyDescent="0.25"/>
    <row r="184" s="45" customFormat="1" ht="20.100000000000001" customHeight="1" x14ac:dyDescent="0.25"/>
    <row r="185" s="45" customFormat="1" ht="20.100000000000001" customHeight="1" x14ac:dyDescent="0.25"/>
    <row r="186" s="45" customFormat="1" ht="20.100000000000001" customHeight="1" x14ac:dyDescent="0.25"/>
    <row r="187" s="45" customFormat="1" ht="20.100000000000001" customHeight="1" x14ac:dyDescent="0.25"/>
    <row r="188" s="45" customFormat="1" ht="20.100000000000001" customHeight="1" x14ac:dyDescent="0.25"/>
    <row r="189" s="45" customFormat="1" ht="20.100000000000001" customHeight="1" x14ac:dyDescent="0.25"/>
    <row r="190" s="45" customFormat="1" ht="20.100000000000001" customHeight="1" x14ac:dyDescent="0.25"/>
    <row r="191" s="45" customFormat="1" ht="20.100000000000001" customHeight="1" x14ac:dyDescent="0.25"/>
    <row r="192" s="45" customFormat="1" ht="20.100000000000001" customHeight="1" x14ac:dyDescent="0.25"/>
    <row r="193" s="45" customFormat="1" ht="20.100000000000001" customHeight="1" x14ac:dyDescent="0.25"/>
    <row r="194" s="45" customFormat="1" ht="20.100000000000001" customHeight="1" x14ac:dyDescent="0.25"/>
    <row r="195" s="45" customFormat="1" ht="20.100000000000001" customHeight="1" x14ac:dyDescent="0.25"/>
    <row r="196" s="45" customFormat="1" ht="20.100000000000001" customHeight="1" x14ac:dyDescent="0.25"/>
    <row r="197" s="45" customFormat="1" ht="20.100000000000001" customHeight="1" x14ac:dyDescent="0.25"/>
    <row r="198" s="45" customFormat="1" ht="20.100000000000001" customHeight="1" x14ac:dyDescent="0.25"/>
    <row r="199" s="45" customFormat="1" ht="20.100000000000001" customHeight="1" x14ac:dyDescent="0.25"/>
    <row r="200" s="45" customFormat="1" ht="20.100000000000001" customHeight="1" x14ac:dyDescent="0.25"/>
    <row r="201" s="45" customFormat="1" ht="20.100000000000001" customHeight="1" x14ac:dyDescent="0.25"/>
    <row r="202" s="45" customFormat="1" ht="20.100000000000001" customHeight="1" x14ac:dyDescent="0.25"/>
    <row r="203" s="45" customFormat="1" ht="20.100000000000001" customHeight="1" x14ac:dyDescent="0.25"/>
    <row r="204" s="45" customFormat="1" ht="20.100000000000001" customHeight="1" x14ac:dyDescent="0.25"/>
    <row r="205" s="45" customFormat="1" ht="20.100000000000001" customHeight="1" x14ac:dyDescent="0.25"/>
    <row r="206" s="45" customFormat="1" ht="20.100000000000001" customHeight="1" x14ac:dyDescent="0.25"/>
    <row r="207" s="45" customFormat="1" ht="20.100000000000001" customHeight="1" x14ac:dyDescent="0.25"/>
    <row r="208" s="45" customFormat="1" ht="20.100000000000001" customHeight="1" x14ac:dyDescent="0.25"/>
    <row r="209" s="45" customFormat="1" ht="20.100000000000001" customHeight="1" x14ac:dyDescent="0.25"/>
    <row r="210" s="45" customFormat="1" ht="20.100000000000001" customHeight="1" x14ac:dyDescent="0.25"/>
    <row r="211" s="45" customFormat="1" ht="20.100000000000001" customHeight="1" x14ac:dyDescent="0.25"/>
    <row r="212" s="45" customFormat="1" ht="20.100000000000001" customHeight="1" x14ac:dyDescent="0.25"/>
    <row r="213" s="45" customFormat="1" ht="20.100000000000001" customHeight="1" x14ac:dyDescent="0.25"/>
    <row r="214" s="45" customFormat="1" ht="20.100000000000001" customHeight="1" x14ac:dyDescent="0.25"/>
    <row r="215" s="45" customFormat="1" ht="20.100000000000001" customHeight="1" x14ac:dyDescent="0.25"/>
    <row r="216" s="45" customFormat="1" ht="20.100000000000001" customHeight="1" x14ac:dyDescent="0.25"/>
    <row r="217" s="45" customFormat="1" ht="20.100000000000001" customHeight="1" x14ac:dyDescent="0.25"/>
    <row r="218" s="45" customFormat="1" ht="20.100000000000001" customHeight="1" x14ac:dyDescent="0.25"/>
    <row r="219" s="45" customFormat="1" ht="20.100000000000001" customHeight="1" x14ac:dyDescent="0.25"/>
    <row r="220" s="45" customFormat="1" ht="20.100000000000001" customHeight="1" x14ac:dyDescent="0.25"/>
    <row r="221" s="45" customFormat="1" ht="20.100000000000001" customHeight="1" x14ac:dyDescent="0.25"/>
    <row r="222" s="45" customFormat="1" ht="20.100000000000001" customHeight="1" x14ac:dyDescent="0.25"/>
    <row r="223" s="45" customFormat="1" ht="20.100000000000001" customHeight="1" x14ac:dyDescent="0.25"/>
    <row r="224" s="45" customFormat="1" ht="20.100000000000001" customHeight="1" x14ac:dyDescent="0.25"/>
    <row r="225" s="45" customFormat="1" ht="20.100000000000001" customHeight="1" x14ac:dyDescent="0.25"/>
    <row r="226" s="45" customFormat="1" ht="20.100000000000001" customHeight="1" x14ac:dyDescent="0.25"/>
    <row r="227" s="45" customFormat="1" ht="20.100000000000001" customHeight="1" x14ac:dyDescent="0.25"/>
    <row r="228" s="45" customFormat="1" ht="20.100000000000001" customHeight="1" x14ac:dyDescent="0.25"/>
    <row r="229" s="45" customFormat="1" ht="20.100000000000001" customHeight="1" x14ac:dyDescent="0.25"/>
    <row r="230" s="45" customFormat="1" ht="20.100000000000001" customHeight="1" x14ac:dyDescent="0.25"/>
    <row r="231" s="45" customFormat="1" ht="20.100000000000001" customHeight="1" x14ac:dyDescent="0.25"/>
    <row r="232" s="45" customFormat="1" ht="20.100000000000001" customHeight="1" x14ac:dyDescent="0.25"/>
    <row r="233" s="45" customFormat="1" ht="20.100000000000001" customHeight="1" x14ac:dyDescent="0.25"/>
    <row r="234" s="45" customFormat="1" ht="20.100000000000001" customHeight="1" x14ac:dyDescent="0.25"/>
    <row r="235" s="45" customFormat="1" ht="20.100000000000001" customHeight="1" x14ac:dyDescent="0.25"/>
    <row r="236" s="45" customFormat="1" ht="20.100000000000001" customHeight="1" x14ac:dyDescent="0.25"/>
    <row r="237" s="45" customFormat="1" ht="20.100000000000001" customHeight="1" x14ac:dyDescent="0.25"/>
    <row r="238" s="45" customFormat="1" ht="20.100000000000001" customHeight="1" x14ac:dyDescent="0.25"/>
    <row r="239" s="45" customFormat="1" ht="20.100000000000001" customHeight="1" x14ac:dyDescent="0.25"/>
    <row r="240" s="45" customFormat="1" ht="20.100000000000001" customHeight="1" x14ac:dyDescent="0.25"/>
    <row r="241" s="45" customFormat="1" ht="20.100000000000001" customHeight="1" x14ac:dyDescent="0.25"/>
    <row r="242" s="45" customFormat="1" ht="20.100000000000001" customHeight="1" x14ac:dyDescent="0.25"/>
    <row r="243" s="45" customFormat="1" ht="20.100000000000001" customHeight="1" x14ac:dyDescent="0.25"/>
    <row r="244" s="45" customFormat="1" ht="20.100000000000001" customHeight="1" x14ac:dyDescent="0.25"/>
    <row r="245" s="45" customFormat="1" ht="20.100000000000001" customHeight="1" x14ac:dyDescent="0.25"/>
    <row r="246" s="45" customFormat="1" ht="20.100000000000001" customHeight="1" x14ac:dyDescent="0.25"/>
    <row r="247" s="45" customFormat="1" ht="20.100000000000001" customHeight="1" x14ac:dyDescent="0.25"/>
    <row r="248" s="45" customFormat="1" ht="20.100000000000001" customHeight="1" x14ac:dyDescent="0.25"/>
    <row r="249" s="45" customFormat="1" ht="20.100000000000001" customHeight="1" x14ac:dyDescent="0.25"/>
    <row r="250" s="45" customFormat="1" ht="20.100000000000001" customHeight="1" x14ac:dyDescent="0.25"/>
    <row r="251" s="45" customFormat="1" ht="20.100000000000001" customHeight="1" x14ac:dyDescent="0.25"/>
    <row r="252" s="45" customFormat="1" ht="20.100000000000001" customHeight="1" x14ac:dyDescent="0.25"/>
    <row r="253" s="45" customFormat="1" ht="20.100000000000001" customHeight="1" x14ac:dyDescent="0.25"/>
    <row r="254" s="45" customFormat="1" ht="20.100000000000001" customHeight="1" x14ac:dyDescent="0.25"/>
    <row r="255" s="45" customFormat="1" ht="20.100000000000001" customHeight="1" x14ac:dyDescent="0.25"/>
    <row r="256" s="45" customFormat="1" ht="20.100000000000001" customHeight="1" x14ac:dyDescent="0.25"/>
    <row r="257" s="45" customFormat="1" ht="20.100000000000001" customHeight="1" x14ac:dyDescent="0.25"/>
    <row r="258" s="45" customFormat="1" ht="20.100000000000001" customHeight="1" x14ac:dyDescent="0.25"/>
    <row r="259" s="45" customFormat="1" ht="20.100000000000001" customHeight="1" x14ac:dyDescent="0.25"/>
    <row r="260" s="45" customFormat="1" ht="20.100000000000001" customHeight="1" x14ac:dyDescent="0.25"/>
    <row r="261" s="45" customFormat="1" ht="20.100000000000001" customHeight="1" x14ac:dyDescent="0.25"/>
    <row r="262" s="45" customFormat="1" ht="20.100000000000001" customHeight="1" x14ac:dyDescent="0.25"/>
    <row r="263" s="45" customFormat="1" ht="20.100000000000001" customHeight="1" x14ac:dyDescent="0.25"/>
    <row r="264" s="45" customFormat="1" ht="20.100000000000001" customHeight="1" x14ac:dyDescent="0.25"/>
    <row r="265" s="45" customFormat="1" ht="20.100000000000001" customHeight="1" x14ac:dyDescent="0.25"/>
    <row r="266" s="45" customFormat="1" ht="20.100000000000001" customHeight="1" x14ac:dyDescent="0.25"/>
    <row r="267" s="45" customFormat="1" ht="20.100000000000001" customHeight="1" x14ac:dyDescent="0.25"/>
    <row r="268" s="45" customFormat="1" ht="20.100000000000001" customHeight="1" x14ac:dyDescent="0.25"/>
    <row r="269" s="45" customFormat="1" ht="20.100000000000001" customHeight="1" x14ac:dyDescent="0.25"/>
    <row r="270" s="45" customFormat="1" ht="20.100000000000001" customHeight="1" x14ac:dyDescent="0.25"/>
    <row r="271" s="45" customFormat="1" ht="20.100000000000001" customHeight="1" x14ac:dyDescent="0.25"/>
    <row r="272" s="45" customFormat="1" ht="20.100000000000001" customHeight="1" x14ac:dyDescent="0.25"/>
    <row r="273" s="45" customFormat="1" ht="20.100000000000001" customHeight="1" x14ac:dyDescent="0.25"/>
    <row r="274" s="45" customFormat="1" ht="20.100000000000001" customHeight="1" x14ac:dyDescent="0.25"/>
    <row r="275" s="45" customFormat="1" ht="20.100000000000001" customHeight="1" x14ac:dyDescent="0.25"/>
    <row r="276" s="45" customFormat="1" ht="20.100000000000001" customHeight="1" x14ac:dyDescent="0.25"/>
    <row r="277" s="45" customFormat="1" ht="20.100000000000001" customHeight="1" x14ac:dyDescent="0.25"/>
    <row r="278" s="45" customFormat="1" ht="20.100000000000001" customHeight="1" x14ac:dyDescent="0.25"/>
    <row r="279" s="45" customFormat="1" ht="20.100000000000001" customHeight="1" x14ac:dyDescent="0.25"/>
    <row r="280" s="45" customFormat="1" ht="20.100000000000001" customHeight="1" x14ac:dyDescent="0.25"/>
    <row r="281" s="45" customFormat="1" ht="20.100000000000001" customHeight="1" x14ac:dyDescent="0.25"/>
    <row r="282" s="45" customFormat="1" ht="20.100000000000001" customHeight="1" x14ac:dyDescent="0.25"/>
    <row r="283" s="45" customFormat="1" ht="20.100000000000001" customHeight="1" x14ac:dyDescent="0.25"/>
    <row r="284" s="45" customFormat="1" ht="20.100000000000001" customHeight="1" x14ac:dyDescent="0.25"/>
    <row r="285" s="45" customFormat="1" ht="20.100000000000001" customHeight="1" x14ac:dyDescent="0.25"/>
    <row r="286" s="45" customFormat="1" ht="20.100000000000001" customHeight="1" x14ac:dyDescent="0.25"/>
    <row r="287" s="45" customFormat="1" ht="20.100000000000001" customHeight="1" x14ac:dyDescent="0.25"/>
    <row r="288" s="45" customFormat="1" ht="20.100000000000001" customHeight="1" x14ac:dyDescent="0.25"/>
    <row r="289" s="45" customFormat="1" ht="20.100000000000001" customHeight="1" x14ac:dyDescent="0.25"/>
    <row r="290" s="45" customFormat="1" ht="20.100000000000001" customHeight="1" x14ac:dyDescent="0.25"/>
    <row r="291" s="45" customFormat="1" ht="20.100000000000001" customHeight="1" x14ac:dyDescent="0.25"/>
    <row r="292" s="45" customFormat="1" ht="20.100000000000001" customHeight="1" x14ac:dyDescent="0.25"/>
    <row r="293" s="45" customFormat="1" ht="20.100000000000001" customHeight="1" x14ac:dyDescent="0.25"/>
    <row r="294" s="45" customFormat="1" ht="20.100000000000001" customHeight="1" x14ac:dyDescent="0.25"/>
    <row r="295" s="45" customFormat="1" ht="20.100000000000001" customHeight="1" x14ac:dyDescent="0.25"/>
    <row r="296" s="45" customFormat="1" ht="20.100000000000001" customHeight="1" x14ac:dyDescent="0.25"/>
    <row r="297" s="45" customFormat="1" ht="20.100000000000001" customHeight="1" x14ac:dyDescent="0.25"/>
    <row r="298" s="45" customFormat="1" ht="20.100000000000001" customHeight="1" x14ac:dyDescent="0.25"/>
    <row r="299" s="45" customFormat="1" ht="20.100000000000001" customHeight="1" x14ac:dyDescent="0.25"/>
    <row r="300" s="45" customFormat="1" ht="20.100000000000001" customHeight="1" x14ac:dyDescent="0.25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7E1C1-B6D2-47AE-A0E9-70A01A7C8010}">
  <sheetPr codeName="Sheet15">
    <tabColor theme="5" tint="0.39997558519241921"/>
  </sheetPr>
  <dimension ref="A1:A300"/>
  <sheetViews>
    <sheetView zoomScale="63" zoomScaleNormal="63" workbookViewId="0"/>
  </sheetViews>
  <sheetFormatPr defaultRowHeight="15" x14ac:dyDescent="0.25"/>
  <cols>
    <col min="1" max="1" width="5.7109375" style="45" customWidth="1"/>
    <col min="2" max="2" width="50.7109375" style="45" customWidth="1"/>
    <col min="3" max="3" width="5.7109375" style="45" customWidth="1"/>
    <col min="4" max="4" width="50.7109375" style="45" customWidth="1"/>
    <col min="5" max="5" width="5.7109375" style="45" customWidth="1"/>
    <col min="6" max="6" width="50.7109375" style="45" customWidth="1"/>
    <col min="7" max="7" width="5.7109375" style="45" customWidth="1"/>
    <col min="8" max="8" width="50.7109375" style="45" customWidth="1"/>
    <col min="9" max="9" width="5.7109375" style="45" customWidth="1"/>
    <col min="10" max="10" width="50.7109375" style="45" customWidth="1"/>
    <col min="11" max="11" width="5.7109375" style="45" customWidth="1"/>
    <col min="12" max="12" width="50.7109375" style="45" customWidth="1"/>
    <col min="13" max="13" width="5.7109375" style="45" customWidth="1"/>
    <col min="14" max="14" width="50.7109375" style="45" customWidth="1"/>
    <col min="15" max="15" width="5.7109375" style="45" customWidth="1"/>
    <col min="16" max="16" width="50.7109375" style="45" customWidth="1"/>
    <col min="17" max="17" width="5.7109375" style="45" customWidth="1"/>
    <col min="18" max="18" width="50.7109375" style="45" customWidth="1"/>
    <col min="19" max="19" width="5.7109375" style="45" customWidth="1"/>
    <col min="20" max="20" width="50.7109375" style="45" customWidth="1"/>
    <col min="21" max="21" width="5.7109375" style="45" customWidth="1"/>
    <col min="22" max="22" width="50.7109375" style="45" customWidth="1"/>
    <col min="23" max="16384" width="9.140625" style="45"/>
  </cols>
  <sheetData>
    <row r="1" ht="45" customHeight="1" x14ac:dyDescent="0.25"/>
    <row r="2" ht="9.9499999999999993" customHeight="1" x14ac:dyDescent="0.25"/>
    <row r="3" ht="20.100000000000001" customHeight="1" x14ac:dyDescent="0.25"/>
    <row r="4" ht="20.100000000000001" customHeight="1" x14ac:dyDescent="0.25"/>
    <row r="5" ht="20.100000000000001" customHeight="1" x14ac:dyDescent="0.25"/>
    <row r="6" ht="20.100000000000001" customHeight="1" x14ac:dyDescent="0.25"/>
    <row r="7" ht="20.100000000000001" customHeight="1" x14ac:dyDescent="0.25"/>
    <row r="8" ht="20.100000000000001" customHeight="1" x14ac:dyDescent="0.25"/>
    <row r="9" ht="20.100000000000001" customHeight="1" x14ac:dyDescent="0.25"/>
    <row r="10" ht="20.100000000000001" customHeight="1" x14ac:dyDescent="0.25"/>
    <row r="11" ht="20.100000000000001" customHeight="1" x14ac:dyDescent="0.25"/>
    <row r="12" ht="20.100000000000001" customHeight="1" x14ac:dyDescent="0.25"/>
    <row r="13" ht="20.100000000000001" customHeight="1" x14ac:dyDescent="0.25"/>
    <row r="14" ht="20.100000000000001" customHeight="1" x14ac:dyDescent="0.25"/>
    <row r="15" ht="20.100000000000001" customHeight="1" x14ac:dyDescent="0.25"/>
    <row r="16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  <row r="24" ht="20.100000000000001" customHeight="1" x14ac:dyDescent="0.25"/>
    <row r="25" ht="20.100000000000001" customHeight="1" x14ac:dyDescent="0.25"/>
    <row r="26" ht="20.100000000000001" customHeight="1" x14ac:dyDescent="0.25"/>
    <row r="27" ht="20.100000000000001" customHeight="1" x14ac:dyDescent="0.25"/>
    <row r="28" ht="20.100000000000001" customHeight="1" x14ac:dyDescent="0.25"/>
    <row r="29" ht="20.100000000000001" customHeight="1" x14ac:dyDescent="0.25"/>
    <row r="30" ht="20.100000000000001" customHeight="1" x14ac:dyDescent="0.25"/>
    <row r="31" ht="20.100000000000001" customHeight="1" x14ac:dyDescent="0.25"/>
    <row r="3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s="45" customFormat="1" ht="20.100000000000001" customHeight="1" x14ac:dyDescent="0.25"/>
    <row r="82" s="45" customFormat="1" ht="20.100000000000001" customHeight="1" x14ac:dyDescent="0.25"/>
    <row r="83" s="45" customFormat="1" ht="20.100000000000001" customHeight="1" x14ac:dyDescent="0.25"/>
    <row r="84" s="45" customFormat="1" ht="20.100000000000001" customHeight="1" x14ac:dyDescent="0.25"/>
    <row r="85" s="45" customFormat="1" ht="20.100000000000001" customHeight="1" x14ac:dyDescent="0.25"/>
    <row r="86" s="45" customFormat="1" ht="20.100000000000001" customHeight="1" x14ac:dyDescent="0.25"/>
    <row r="87" s="45" customFormat="1" ht="20.100000000000001" customHeight="1" x14ac:dyDescent="0.25"/>
    <row r="88" s="45" customFormat="1" ht="20.100000000000001" customHeight="1" x14ac:dyDescent="0.25"/>
    <row r="89" s="45" customFormat="1" ht="20.100000000000001" customHeight="1" x14ac:dyDescent="0.25"/>
    <row r="90" s="45" customFormat="1" ht="20.100000000000001" customHeight="1" x14ac:dyDescent="0.25"/>
    <row r="91" s="45" customFormat="1" ht="20.100000000000001" customHeight="1" x14ac:dyDescent="0.25"/>
    <row r="92" s="45" customFormat="1" ht="20.100000000000001" customHeight="1" x14ac:dyDescent="0.25"/>
    <row r="93" s="45" customFormat="1" ht="20.100000000000001" customHeight="1" x14ac:dyDescent="0.25"/>
    <row r="94" s="45" customFormat="1" ht="20.100000000000001" customHeight="1" x14ac:dyDescent="0.25"/>
    <row r="95" s="45" customFormat="1" ht="20.100000000000001" customHeight="1" x14ac:dyDescent="0.25"/>
    <row r="96" s="45" customFormat="1" ht="20.100000000000001" customHeight="1" x14ac:dyDescent="0.25"/>
    <row r="97" s="45" customFormat="1" ht="20.100000000000001" customHeight="1" x14ac:dyDescent="0.25"/>
    <row r="98" s="45" customFormat="1" ht="20.100000000000001" customHeight="1" x14ac:dyDescent="0.25"/>
    <row r="99" s="45" customFormat="1" ht="20.100000000000001" customHeight="1" x14ac:dyDescent="0.25"/>
    <row r="100" s="45" customFormat="1" ht="20.100000000000001" customHeight="1" x14ac:dyDescent="0.25"/>
    <row r="101" s="45" customFormat="1" ht="20.100000000000001" customHeight="1" x14ac:dyDescent="0.25"/>
    <row r="102" s="45" customFormat="1" ht="20.100000000000001" customHeight="1" x14ac:dyDescent="0.25"/>
    <row r="103" s="45" customFormat="1" ht="20.100000000000001" customHeight="1" x14ac:dyDescent="0.25"/>
    <row r="104" s="45" customFormat="1" ht="20.100000000000001" customHeight="1" x14ac:dyDescent="0.25"/>
    <row r="105" s="45" customFormat="1" ht="20.100000000000001" customHeight="1" x14ac:dyDescent="0.25"/>
    <row r="106" s="45" customFormat="1" ht="20.100000000000001" customHeight="1" x14ac:dyDescent="0.25"/>
    <row r="107" s="45" customFormat="1" ht="20.100000000000001" customHeight="1" x14ac:dyDescent="0.25"/>
    <row r="108" s="45" customFormat="1" ht="20.100000000000001" customHeight="1" x14ac:dyDescent="0.25"/>
    <row r="109" s="45" customFormat="1" ht="20.100000000000001" customHeight="1" x14ac:dyDescent="0.25"/>
    <row r="110" s="45" customFormat="1" ht="20.100000000000001" customHeight="1" x14ac:dyDescent="0.25"/>
    <row r="111" s="45" customFormat="1" ht="20.100000000000001" customHeight="1" x14ac:dyDescent="0.25"/>
    <row r="112" s="45" customFormat="1" ht="20.100000000000001" customHeight="1" x14ac:dyDescent="0.25"/>
    <row r="113" s="45" customFormat="1" ht="20.100000000000001" customHeight="1" x14ac:dyDescent="0.25"/>
    <row r="114" s="45" customFormat="1" ht="20.100000000000001" customHeight="1" x14ac:dyDescent="0.25"/>
    <row r="115" s="45" customFormat="1" ht="20.100000000000001" customHeight="1" x14ac:dyDescent="0.25"/>
    <row r="116" s="45" customFormat="1" ht="20.100000000000001" customHeight="1" x14ac:dyDescent="0.25"/>
    <row r="117" s="45" customFormat="1" ht="20.100000000000001" customHeight="1" x14ac:dyDescent="0.25"/>
    <row r="118" s="45" customFormat="1" ht="20.100000000000001" customHeight="1" x14ac:dyDescent="0.25"/>
    <row r="119" s="45" customFormat="1" ht="20.100000000000001" customHeight="1" x14ac:dyDescent="0.25"/>
    <row r="120" s="45" customFormat="1" ht="20.100000000000001" customHeight="1" x14ac:dyDescent="0.25"/>
    <row r="121" s="45" customFormat="1" ht="20.100000000000001" customHeight="1" x14ac:dyDescent="0.25"/>
    <row r="122" s="45" customFormat="1" ht="20.100000000000001" customHeight="1" x14ac:dyDescent="0.25"/>
    <row r="123" s="45" customFormat="1" ht="20.100000000000001" customHeight="1" x14ac:dyDescent="0.25"/>
    <row r="124" s="45" customFormat="1" ht="20.100000000000001" customHeight="1" x14ac:dyDescent="0.25"/>
    <row r="125" s="45" customFormat="1" ht="20.100000000000001" customHeight="1" x14ac:dyDescent="0.25"/>
    <row r="126" s="45" customFormat="1" ht="20.100000000000001" customHeight="1" x14ac:dyDescent="0.25"/>
    <row r="127" s="45" customFormat="1" ht="20.100000000000001" customHeight="1" x14ac:dyDescent="0.25"/>
    <row r="128" s="45" customFormat="1" ht="20.100000000000001" customHeight="1" x14ac:dyDescent="0.25"/>
    <row r="129" s="45" customFormat="1" ht="20.100000000000001" customHeight="1" x14ac:dyDescent="0.25"/>
    <row r="130" s="45" customFormat="1" ht="20.100000000000001" customHeight="1" x14ac:dyDescent="0.25"/>
    <row r="131" s="45" customFormat="1" ht="20.100000000000001" customHeight="1" x14ac:dyDescent="0.25"/>
    <row r="132" s="45" customFormat="1" ht="20.100000000000001" customHeight="1" x14ac:dyDescent="0.25"/>
    <row r="133" s="45" customFormat="1" ht="20.100000000000001" customHeight="1" x14ac:dyDescent="0.25"/>
    <row r="134" s="45" customFormat="1" ht="20.100000000000001" customHeight="1" x14ac:dyDescent="0.25"/>
    <row r="135" s="45" customFormat="1" ht="20.100000000000001" customHeight="1" x14ac:dyDescent="0.25"/>
    <row r="136" s="45" customFormat="1" ht="20.100000000000001" customHeight="1" x14ac:dyDescent="0.25"/>
    <row r="137" s="45" customFormat="1" ht="20.100000000000001" customHeight="1" x14ac:dyDescent="0.25"/>
    <row r="138" s="45" customFormat="1" ht="20.100000000000001" customHeight="1" x14ac:dyDescent="0.25"/>
    <row r="139" s="45" customFormat="1" ht="20.100000000000001" customHeight="1" x14ac:dyDescent="0.25"/>
    <row r="140" s="45" customFormat="1" ht="20.100000000000001" customHeight="1" x14ac:dyDescent="0.25"/>
    <row r="141" s="45" customFormat="1" ht="20.100000000000001" customHeight="1" x14ac:dyDescent="0.25"/>
    <row r="142" s="45" customFormat="1" ht="20.100000000000001" customHeight="1" x14ac:dyDescent="0.25"/>
    <row r="143" s="45" customFormat="1" ht="20.100000000000001" customHeight="1" x14ac:dyDescent="0.25"/>
    <row r="144" s="45" customFormat="1" ht="20.100000000000001" customHeight="1" x14ac:dyDescent="0.25"/>
    <row r="145" s="45" customFormat="1" ht="20.100000000000001" customHeight="1" x14ac:dyDescent="0.25"/>
    <row r="146" s="45" customFormat="1" ht="20.100000000000001" customHeight="1" x14ac:dyDescent="0.25"/>
    <row r="147" s="45" customFormat="1" ht="20.100000000000001" customHeight="1" x14ac:dyDescent="0.25"/>
    <row r="148" s="45" customFormat="1" ht="20.100000000000001" customHeight="1" x14ac:dyDescent="0.25"/>
    <row r="149" s="45" customFormat="1" ht="20.100000000000001" customHeight="1" x14ac:dyDescent="0.25"/>
    <row r="150" s="45" customFormat="1" ht="20.100000000000001" customHeight="1" x14ac:dyDescent="0.25"/>
    <row r="151" s="45" customFormat="1" ht="20.100000000000001" customHeight="1" x14ac:dyDescent="0.25"/>
    <row r="152" s="45" customFormat="1" ht="20.100000000000001" customHeight="1" x14ac:dyDescent="0.25"/>
    <row r="153" s="45" customFormat="1" ht="20.100000000000001" customHeight="1" x14ac:dyDescent="0.25"/>
    <row r="154" s="45" customFormat="1" ht="20.100000000000001" customHeight="1" x14ac:dyDescent="0.25"/>
    <row r="155" s="45" customFormat="1" ht="20.100000000000001" customHeight="1" x14ac:dyDescent="0.25"/>
    <row r="156" s="45" customFormat="1" ht="20.100000000000001" customHeight="1" x14ac:dyDescent="0.25"/>
    <row r="157" s="45" customFormat="1" ht="20.100000000000001" customHeight="1" x14ac:dyDescent="0.25"/>
    <row r="158" s="45" customFormat="1" ht="20.100000000000001" customHeight="1" x14ac:dyDescent="0.25"/>
    <row r="159" s="45" customFormat="1" ht="20.100000000000001" customHeight="1" x14ac:dyDescent="0.25"/>
    <row r="160" s="45" customFormat="1" ht="20.100000000000001" customHeight="1" x14ac:dyDescent="0.25"/>
    <row r="161" s="45" customFormat="1" ht="20.100000000000001" customHeight="1" x14ac:dyDescent="0.25"/>
    <row r="162" s="45" customFormat="1" ht="20.100000000000001" customHeight="1" x14ac:dyDescent="0.25"/>
    <row r="163" s="45" customFormat="1" ht="20.100000000000001" customHeight="1" x14ac:dyDescent="0.25"/>
    <row r="164" s="45" customFormat="1" ht="20.100000000000001" customHeight="1" x14ac:dyDescent="0.25"/>
    <row r="165" s="45" customFormat="1" ht="20.100000000000001" customHeight="1" x14ac:dyDescent="0.25"/>
    <row r="166" s="45" customFormat="1" ht="20.100000000000001" customHeight="1" x14ac:dyDescent="0.25"/>
    <row r="167" s="45" customFormat="1" ht="20.100000000000001" customHeight="1" x14ac:dyDescent="0.25"/>
    <row r="168" s="45" customFormat="1" ht="20.100000000000001" customHeight="1" x14ac:dyDescent="0.25"/>
    <row r="169" s="45" customFormat="1" ht="20.100000000000001" customHeight="1" x14ac:dyDescent="0.25"/>
    <row r="170" s="45" customFormat="1" ht="20.100000000000001" customHeight="1" x14ac:dyDescent="0.25"/>
    <row r="171" s="45" customFormat="1" ht="20.100000000000001" customHeight="1" x14ac:dyDescent="0.25"/>
    <row r="172" s="45" customFormat="1" ht="20.100000000000001" customHeight="1" x14ac:dyDescent="0.25"/>
    <row r="173" s="45" customFormat="1" ht="20.100000000000001" customHeight="1" x14ac:dyDescent="0.25"/>
    <row r="174" s="45" customFormat="1" ht="20.100000000000001" customHeight="1" x14ac:dyDescent="0.25"/>
    <row r="175" s="45" customFormat="1" ht="20.100000000000001" customHeight="1" x14ac:dyDescent="0.25"/>
    <row r="176" s="45" customFormat="1" ht="20.100000000000001" customHeight="1" x14ac:dyDescent="0.25"/>
    <row r="177" s="45" customFormat="1" ht="20.100000000000001" customHeight="1" x14ac:dyDescent="0.25"/>
    <row r="178" s="45" customFormat="1" ht="20.100000000000001" customHeight="1" x14ac:dyDescent="0.25"/>
    <row r="179" s="45" customFormat="1" ht="20.100000000000001" customHeight="1" x14ac:dyDescent="0.25"/>
    <row r="180" s="45" customFormat="1" ht="20.100000000000001" customHeight="1" x14ac:dyDescent="0.25"/>
    <row r="181" s="45" customFormat="1" ht="20.100000000000001" customHeight="1" x14ac:dyDescent="0.25"/>
    <row r="182" s="45" customFormat="1" ht="20.100000000000001" customHeight="1" x14ac:dyDescent="0.25"/>
    <row r="183" s="45" customFormat="1" ht="20.100000000000001" customHeight="1" x14ac:dyDescent="0.25"/>
    <row r="184" s="45" customFormat="1" ht="20.100000000000001" customHeight="1" x14ac:dyDescent="0.25"/>
    <row r="185" s="45" customFormat="1" ht="20.100000000000001" customHeight="1" x14ac:dyDescent="0.25"/>
    <row r="186" s="45" customFormat="1" ht="20.100000000000001" customHeight="1" x14ac:dyDescent="0.25"/>
    <row r="187" s="45" customFormat="1" ht="20.100000000000001" customHeight="1" x14ac:dyDescent="0.25"/>
    <row r="188" s="45" customFormat="1" ht="20.100000000000001" customHeight="1" x14ac:dyDescent="0.25"/>
    <row r="189" s="45" customFormat="1" ht="20.100000000000001" customHeight="1" x14ac:dyDescent="0.25"/>
    <row r="190" s="45" customFormat="1" ht="20.100000000000001" customHeight="1" x14ac:dyDescent="0.25"/>
    <row r="191" s="45" customFormat="1" ht="20.100000000000001" customHeight="1" x14ac:dyDescent="0.25"/>
    <row r="192" s="45" customFormat="1" ht="20.100000000000001" customHeight="1" x14ac:dyDescent="0.25"/>
    <row r="193" s="45" customFormat="1" ht="20.100000000000001" customHeight="1" x14ac:dyDescent="0.25"/>
    <row r="194" s="45" customFormat="1" ht="20.100000000000001" customHeight="1" x14ac:dyDescent="0.25"/>
    <row r="195" s="45" customFormat="1" ht="20.100000000000001" customHeight="1" x14ac:dyDescent="0.25"/>
    <row r="196" s="45" customFormat="1" ht="20.100000000000001" customHeight="1" x14ac:dyDescent="0.25"/>
    <row r="197" s="45" customFormat="1" ht="20.100000000000001" customHeight="1" x14ac:dyDescent="0.25"/>
    <row r="198" s="45" customFormat="1" ht="20.100000000000001" customHeight="1" x14ac:dyDescent="0.25"/>
    <row r="199" s="45" customFormat="1" ht="20.100000000000001" customHeight="1" x14ac:dyDescent="0.25"/>
    <row r="200" s="45" customFormat="1" ht="20.100000000000001" customHeight="1" x14ac:dyDescent="0.25"/>
    <row r="201" s="45" customFormat="1" ht="20.100000000000001" customHeight="1" x14ac:dyDescent="0.25"/>
    <row r="202" s="45" customFormat="1" ht="20.100000000000001" customHeight="1" x14ac:dyDescent="0.25"/>
    <row r="203" s="45" customFormat="1" ht="20.100000000000001" customHeight="1" x14ac:dyDescent="0.25"/>
    <row r="204" s="45" customFormat="1" ht="20.100000000000001" customHeight="1" x14ac:dyDescent="0.25"/>
    <row r="205" s="45" customFormat="1" ht="20.100000000000001" customHeight="1" x14ac:dyDescent="0.25"/>
    <row r="206" s="45" customFormat="1" ht="20.100000000000001" customHeight="1" x14ac:dyDescent="0.25"/>
    <row r="207" s="45" customFormat="1" ht="20.100000000000001" customHeight="1" x14ac:dyDescent="0.25"/>
    <row r="208" s="45" customFormat="1" ht="20.100000000000001" customHeight="1" x14ac:dyDescent="0.25"/>
    <row r="209" s="45" customFormat="1" ht="20.100000000000001" customHeight="1" x14ac:dyDescent="0.25"/>
    <row r="210" s="45" customFormat="1" ht="20.100000000000001" customHeight="1" x14ac:dyDescent="0.25"/>
    <row r="211" s="45" customFormat="1" ht="20.100000000000001" customHeight="1" x14ac:dyDescent="0.25"/>
    <row r="212" s="45" customFormat="1" ht="20.100000000000001" customHeight="1" x14ac:dyDescent="0.25"/>
    <row r="213" s="45" customFormat="1" ht="20.100000000000001" customHeight="1" x14ac:dyDescent="0.25"/>
    <row r="214" s="45" customFormat="1" ht="20.100000000000001" customHeight="1" x14ac:dyDescent="0.25"/>
    <row r="215" s="45" customFormat="1" ht="20.100000000000001" customHeight="1" x14ac:dyDescent="0.25"/>
    <row r="216" s="45" customFormat="1" ht="20.100000000000001" customHeight="1" x14ac:dyDescent="0.25"/>
    <row r="217" s="45" customFormat="1" ht="20.100000000000001" customHeight="1" x14ac:dyDescent="0.25"/>
    <row r="218" s="45" customFormat="1" ht="20.100000000000001" customHeight="1" x14ac:dyDescent="0.25"/>
    <row r="219" s="45" customFormat="1" ht="20.100000000000001" customHeight="1" x14ac:dyDescent="0.25"/>
    <row r="220" s="45" customFormat="1" ht="20.100000000000001" customHeight="1" x14ac:dyDescent="0.25"/>
    <row r="221" s="45" customFormat="1" ht="20.100000000000001" customHeight="1" x14ac:dyDescent="0.25"/>
    <row r="222" s="45" customFormat="1" ht="20.100000000000001" customHeight="1" x14ac:dyDescent="0.25"/>
    <row r="223" s="45" customFormat="1" ht="20.100000000000001" customHeight="1" x14ac:dyDescent="0.25"/>
    <row r="224" s="45" customFormat="1" ht="20.100000000000001" customHeight="1" x14ac:dyDescent="0.25"/>
    <row r="225" s="45" customFormat="1" ht="20.100000000000001" customHeight="1" x14ac:dyDescent="0.25"/>
    <row r="226" s="45" customFormat="1" ht="20.100000000000001" customHeight="1" x14ac:dyDescent="0.25"/>
    <row r="227" s="45" customFormat="1" ht="20.100000000000001" customHeight="1" x14ac:dyDescent="0.25"/>
    <row r="228" s="45" customFormat="1" ht="20.100000000000001" customHeight="1" x14ac:dyDescent="0.25"/>
    <row r="229" s="45" customFormat="1" ht="20.100000000000001" customHeight="1" x14ac:dyDescent="0.25"/>
    <row r="230" s="45" customFormat="1" ht="20.100000000000001" customHeight="1" x14ac:dyDescent="0.25"/>
    <row r="231" s="45" customFormat="1" ht="20.100000000000001" customHeight="1" x14ac:dyDescent="0.25"/>
    <row r="232" s="45" customFormat="1" ht="20.100000000000001" customHeight="1" x14ac:dyDescent="0.25"/>
    <row r="233" s="45" customFormat="1" ht="20.100000000000001" customHeight="1" x14ac:dyDescent="0.25"/>
    <row r="234" s="45" customFormat="1" ht="20.100000000000001" customHeight="1" x14ac:dyDescent="0.25"/>
    <row r="235" s="45" customFormat="1" ht="20.100000000000001" customHeight="1" x14ac:dyDescent="0.25"/>
    <row r="236" s="45" customFormat="1" ht="20.100000000000001" customHeight="1" x14ac:dyDescent="0.25"/>
    <row r="237" s="45" customFormat="1" ht="20.100000000000001" customHeight="1" x14ac:dyDescent="0.25"/>
    <row r="238" s="45" customFormat="1" ht="20.100000000000001" customHeight="1" x14ac:dyDescent="0.25"/>
    <row r="239" s="45" customFormat="1" ht="20.100000000000001" customHeight="1" x14ac:dyDescent="0.25"/>
    <row r="240" s="45" customFormat="1" ht="20.100000000000001" customHeight="1" x14ac:dyDescent="0.25"/>
    <row r="241" s="45" customFormat="1" ht="20.100000000000001" customHeight="1" x14ac:dyDescent="0.25"/>
    <row r="242" s="45" customFormat="1" ht="20.100000000000001" customHeight="1" x14ac:dyDescent="0.25"/>
    <row r="243" s="45" customFormat="1" ht="20.100000000000001" customHeight="1" x14ac:dyDescent="0.25"/>
    <row r="244" s="45" customFormat="1" ht="20.100000000000001" customHeight="1" x14ac:dyDescent="0.25"/>
    <row r="245" s="45" customFormat="1" ht="20.100000000000001" customHeight="1" x14ac:dyDescent="0.25"/>
    <row r="246" s="45" customFormat="1" ht="20.100000000000001" customHeight="1" x14ac:dyDescent="0.25"/>
    <row r="247" s="45" customFormat="1" ht="20.100000000000001" customHeight="1" x14ac:dyDescent="0.25"/>
    <row r="248" s="45" customFormat="1" ht="20.100000000000001" customHeight="1" x14ac:dyDescent="0.25"/>
    <row r="249" s="45" customFormat="1" ht="20.100000000000001" customHeight="1" x14ac:dyDescent="0.25"/>
    <row r="250" s="45" customFormat="1" ht="20.100000000000001" customHeight="1" x14ac:dyDescent="0.25"/>
    <row r="251" s="45" customFormat="1" ht="20.100000000000001" customHeight="1" x14ac:dyDescent="0.25"/>
    <row r="252" s="45" customFormat="1" ht="20.100000000000001" customHeight="1" x14ac:dyDescent="0.25"/>
    <row r="253" s="45" customFormat="1" ht="20.100000000000001" customHeight="1" x14ac:dyDescent="0.25"/>
    <row r="254" s="45" customFormat="1" ht="20.100000000000001" customHeight="1" x14ac:dyDescent="0.25"/>
    <row r="255" s="45" customFormat="1" ht="20.100000000000001" customHeight="1" x14ac:dyDescent="0.25"/>
    <row r="256" s="45" customFormat="1" ht="20.100000000000001" customHeight="1" x14ac:dyDescent="0.25"/>
    <row r="257" s="45" customFormat="1" ht="20.100000000000001" customHeight="1" x14ac:dyDescent="0.25"/>
    <row r="258" s="45" customFormat="1" ht="20.100000000000001" customHeight="1" x14ac:dyDescent="0.25"/>
    <row r="259" s="45" customFormat="1" ht="20.100000000000001" customHeight="1" x14ac:dyDescent="0.25"/>
    <row r="260" s="45" customFormat="1" ht="20.100000000000001" customHeight="1" x14ac:dyDescent="0.25"/>
    <row r="261" s="45" customFormat="1" ht="20.100000000000001" customHeight="1" x14ac:dyDescent="0.25"/>
    <row r="262" s="45" customFormat="1" ht="20.100000000000001" customHeight="1" x14ac:dyDescent="0.25"/>
    <row r="263" s="45" customFormat="1" ht="20.100000000000001" customHeight="1" x14ac:dyDescent="0.25"/>
    <row r="264" s="45" customFormat="1" ht="20.100000000000001" customHeight="1" x14ac:dyDescent="0.25"/>
    <row r="265" s="45" customFormat="1" ht="20.100000000000001" customHeight="1" x14ac:dyDescent="0.25"/>
    <row r="266" s="45" customFormat="1" ht="20.100000000000001" customHeight="1" x14ac:dyDescent="0.25"/>
    <row r="267" s="45" customFormat="1" ht="20.100000000000001" customHeight="1" x14ac:dyDescent="0.25"/>
    <row r="268" s="45" customFormat="1" ht="20.100000000000001" customHeight="1" x14ac:dyDescent="0.25"/>
    <row r="269" s="45" customFormat="1" ht="20.100000000000001" customHeight="1" x14ac:dyDescent="0.25"/>
    <row r="270" s="45" customFormat="1" ht="20.100000000000001" customHeight="1" x14ac:dyDescent="0.25"/>
    <row r="271" s="45" customFormat="1" ht="20.100000000000001" customHeight="1" x14ac:dyDescent="0.25"/>
    <row r="272" s="45" customFormat="1" ht="20.100000000000001" customHeight="1" x14ac:dyDescent="0.25"/>
    <row r="273" s="45" customFormat="1" ht="20.100000000000001" customHeight="1" x14ac:dyDescent="0.25"/>
    <row r="274" s="45" customFormat="1" ht="20.100000000000001" customHeight="1" x14ac:dyDescent="0.25"/>
    <row r="275" s="45" customFormat="1" ht="20.100000000000001" customHeight="1" x14ac:dyDescent="0.25"/>
    <row r="276" s="45" customFormat="1" ht="20.100000000000001" customHeight="1" x14ac:dyDescent="0.25"/>
    <row r="277" s="45" customFormat="1" ht="20.100000000000001" customHeight="1" x14ac:dyDescent="0.25"/>
    <row r="278" s="45" customFormat="1" ht="20.100000000000001" customHeight="1" x14ac:dyDescent="0.25"/>
    <row r="279" s="45" customFormat="1" ht="20.100000000000001" customHeight="1" x14ac:dyDescent="0.25"/>
    <row r="280" s="45" customFormat="1" ht="20.100000000000001" customHeight="1" x14ac:dyDescent="0.25"/>
    <row r="281" s="45" customFormat="1" ht="20.100000000000001" customHeight="1" x14ac:dyDescent="0.25"/>
    <row r="282" s="45" customFormat="1" ht="20.100000000000001" customHeight="1" x14ac:dyDescent="0.25"/>
    <row r="283" s="45" customFormat="1" ht="20.100000000000001" customHeight="1" x14ac:dyDescent="0.25"/>
    <row r="284" s="45" customFormat="1" ht="20.100000000000001" customHeight="1" x14ac:dyDescent="0.25"/>
    <row r="285" s="45" customFormat="1" ht="20.100000000000001" customHeight="1" x14ac:dyDescent="0.25"/>
    <row r="286" s="45" customFormat="1" ht="20.100000000000001" customHeight="1" x14ac:dyDescent="0.25"/>
    <row r="287" s="45" customFormat="1" ht="20.100000000000001" customHeight="1" x14ac:dyDescent="0.25"/>
    <row r="288" s="45" customFormat="1" ht="20.100000000000001" customHeight="1" x14ac:dyDescent="0.25"/>
    <row r="289" s="45" customFormat="1" ht="20.100000000000001" customHeight="1" x14ac:dyDescent="0.25"/>
    <row r="290" s="45" customFormat="1" ht="20.100000000000001" customHeight="1" x14ac:dyDescent="0.25"/>
    <row r="291" s="45" customFormat="1" ht="20.100000000000001" customHeight="1" x14ac:dyDescent="0.25"/>
    <row r="292" s="45" customFormat="1" ht="20.100000000000001" customHeight="1" x14ac:dyDescent="0.25"/>
    <row r="293" s="45" customFormat="1" ht="20.100000000000001" customHeight="1" x14ac:dyDescent="0.25"/>
    <row r="294" s="45" customFormat="1" ht="20.100000000000001" customHeight="1" x14ac:dyDescent="0.25"/>
    <row r="295" s="45" customFormat="1" ht="20.100000000000001" customHeight="1" x14ac:dyDescent="0.25"/>
    <row r="296" s="45" customFormat="1" ht="20.100000000000001" customHeight="1" x14ac:dyDescent="0.25"/>
    <row r="297" s="45" customFormat="1" ht="20.100000000000001" customHeight="1" x14ac:dyDescent="0.25"/>
    <row r="298" s="45" customFormat="1" ht="20.100000000000001" customHeight="1" x14ac:dyDescent="0.25"/>
    <row r="299" s="45" customFormat="1" ht="20.100000000000001" customHeight="1" x14ac:dyDescent="0.25"/>
    <row r="300" s="45" customFormat="1" ht="20.100000000000001" customHeight="1" x14ac:dyDescent="0.25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AA1FC-C36A-4501-A8DB-FD96D2EDCCCD}">
  <sheetPr codeName="Sheet5">
    <tabColor rgb="FFFFFF00"/>
  </sheetPr>
  <dimension ref="A1:AN229"/>
  <sheetViews>
    <sheetView zoomScaleNormal="100" workbookViewId="0">
      <selection activeCell="C21" sqref="C21"/>
    </sheetView>
  </sheetViews>
  <sheetFormatPr defaultRowHeight="15" x14ac:dyDescent="0.25"/>
  <cols>
    <col min="1" max="1" width="25.7109375" customWidth="1"/>
    <col min="4" max="4" width="25.7109375" customWidth="1"/>
    <col min="6" max="6" width="25.7109375" customWidth="1"/>
    <col min="9" max="9" width="25.7109375" customWidth="1"/>
    <col min="11" max="11" width="25.7109375" customWidth="1"/>
    <col min="14" max="14" width="25.7109375" customWidth="1"/>
    <col min="16" max="16" width="25.7109375" customWidth="1"/>
    <col min="19" max="19" width="25.7109375" customWidth="1"/>
    <col min="21" max="21" width="9" customWidth="1"/>
    <col min="22" max="22" width="30.7109375" customWidth="1"/>
    <col min="23" max="23" width="9.28515625" customWidth="1"/>
    <col min="24" max="24" width="30.7109375" customWidth="1"/>
    <col min="25" max="25" width="9.28515625" customWidth="1"/>
    <col min="26" max="26" width="30.7109375" customWidth="1"/>
    <col min="27" max="27" width="9.28515625" customWidth="1"/>
    <col min="28" max="28" width="30.7109375" customWidth="1"/>
    <col min="29" max="29" width="9.28515625" customWidth="1"/>
    <col min="30" max="30" width="30.7109375" customWidth="1"/>
    <col min="31" max="31" width="9.28515625" customWidth="1"/>
    <col min="32" max="32" width="30.7109375" customWidth="1"/>
    <col min="33" max="33" width="9.28515625" customWidth="1"/>
    <col min="34" max="34" width="25.7109375" customWidth="1"/>
    <col min="36" max="40" width="25.7109375" customWidth="1"/>
  </cols>
  <sheetData>
    <row r="1" spans="1:40" ht="15.75" thickTop="1" x14ac:dyDescent="0.25">
      <c r="A1" s="51" t="str">
        <f>'Teams in Pools'!A1</f>
        <v>Pool 1</v>
      </c>
      <c r="B1" s="52"/>
      <c r="C1" s="52"/>
      <c r="D1" s="52"/>
      <c r="E1" s="53"/>
      <c r="F1" s="51" t="str">
        <f>'Teams in Pools'!C1</f>
        <v>Pool 5</v>
      </c>
      <c r="G1" s="52"/>
      <c r="H1" s="52"/>
      <c r="I1" s="52"/>
      <c r="J1" s="53"/>
      <c r="K1" s="51" t="str">
        <f>'Teams in Pools'!E1</f>
        <v>Pool 9</v>
      </c>
      <c r="L1" s="52"/>
      <c r="M1" s="52"/>
      <c r="N1" s="52"/>
      <c r="O1" s="53"/>
      <c r="P1" s="51">
        <f>'Teams in Pools'!G1</f>
        <v>0</v>
      </c>
      <c r="Q1" s="52"/>
      <c r="R1" s="52"/>
      <c r="S1" s="52"/>
      <c r="T1" s="53"/>
      <c r="V1" s="54" t="s">
        <v>22</v>
      </c>
      <c r="W1" s="55"/>
      <c r="X1" s="56" t="s">
        <v>23</v>
      </c>
      <c r="Y1" s="57"/>
      <c r="Z1" s="54" t="s">
        <v>24</v>
      </c>
      <c r="AA1" s="55"/>
      <c r="AB1" s="56" t="s">
        <v>25</v>
      </c>
      <c r="AC1" s="57"/>
      <c r="AD1" s="54" t="s">
        <v>26</v>
      </c>
      <c r="AE1" s="58"/>
      <c r="AF1" s="59" t="s">
        <v>27</v>
      </c>
      <c r="AG1" s="60"/>
      <c r="AH1" s="61" t="s">
        <v>28</v>
      </c>
      <c r="AI1" s="62"/>
      <c r="AJ1" s="63" t="s">
        <v>29</v>
      </c>
      <c r="AK1" s="64" t="s">
        <v>75</v>
      </c>
      <c r="AL1" s="65" t="s">
        <v>76</v>
      </c>
      <c r="AM1" s="65" t="s">
        <v>77</v>
      </c>
      <c r="AN1" s="66" t="s">
        <v>78</v>
      </c>
    </row>
    <row r="2" spans="1:40" x14ac:dyDescent="0.25">
      <c r="A2" s="67" t="str">
        <f>IF(D2=0,"",D2)</f>
        <v>University of team 16</v>
      </c>
      <c r="D2" t="str" cm="1">
        <f t="array" ref="D2:D6">'Teams in Pools'!A2:A6</f>
        <v>University of team 16</v>
      </c>
      <c r="E2" s="68"/>
      <c r="F2" s="67" t="str">
        <f>IF(I2=0,"",I2)</f>
        <v>University of team 25</v>
      </c>
      <c r="I2" t="str" cm="1">
        <f t="array" ref="I2:I6">'Teams in Pools'!C2:C6</f>
        <v>University of team 25</v>
      </c>
      <c r="J2" s="68"/>
      <c r="K2" s="67" t="str">
        <f>IF(N2=0,"",N2)</f>
        <v>University of team 33</v>
      </c>
      <c r="N2" t="str" cm="1">
        <f t="array" ref="N2:N6">'Teams in Pools'!E2:E6</f>
        <v>University of team 33</v>
      </c>
      <c r="O2" s="68"/>
      <c r="P2" s="67" t="str">
        <f>IF(S2=0,"",S2)</f>
        <v/>
      </c>
      <c r="S2" cm="1">
        <f t="array" ref="S2:S6">'Teams in Pools'!G2:G6</f>
        <v>0</v>
      </c>
      <c r="T2" s="68"/>
      <c r="V2" s="69" t="str" cm="1">
        <f t="array" ref="V2:W2">D27:E27</f>
        <v>University of team 16</v>
      </c>
      <c r="W2" s="70">
        <v>0.7142857142857143</v>
      </c>
      <c r="X2" s="71" t="str" cm="1">
        <f t="array" ref="X2:Y2">D28:E28</f>
        <v>University of team 14</v>
      </c>
      <c r="Y2" s="72">
        <v>0.51063829787234039</v>
      </c>
      <c r="Z2" s="69" t="str" cm="1">
        <f t="array" ref="Z2:AA2">D29:E29</f>
        <v>University of team 20</v>
      </c>
      <c r="AA2" s="70">
        <v>0.39175257731958762</v>
      </c>
      <c r="AB2" s="71" t="str" cm="1">
        <f t="array" ref="AB2:AC2">D30:E30</f>
        <v>University of team 34</v>
      </c>
      <c r="AC2" s="72">
        <v>0.37662337662337664</v>
      </c>
      <c r="AD2" s="69" cm="1">
        <f t="array" ref="AD2:AE2">D31:E31</f>
        <v>0</v>
      </c>
      <c r="AE2" s="73">
        <v>0</v>
      </c>
      <c r="AF2" s="74" t="str" cm="1">
        <f t="array" ref="AF2:AG17">V34:W49</f>
        <v>University of team 22</v>
      </c>
      <c r="AG2" s="75">
        <v>5.765625</v>
      </c>
      <c r="AH2" s="76" t="str" cm="1">
        <f t="array" ref="AH2:AI81">_xlfn.SORTBY(AF2:AG81,AG2:AG81,-1)</f>
        <v>University of team 22</v>
      </c>
      <c r="AI2" s="77">
        <v>5.765625</v>
      </c>
      <c r="AJ2" s="78" t="str" cm="1">
        <f t="array" ref="AJ2:AJ81">IF(ISBLANK(AH2:AH81),"",AH2:AH81)</f>
        <v>University of team 22</v>
      </c>
      <c r="AK2" s="79" t="s">
        <v>158</v>
      </c>
      <c r="AL2" s="80" t="s">
        <v>169</v>
      </c>
      <c r="AM2" s="80" t="s">
        <v>156</v>
      </c>
      <c r="AN2" s="81"/>
    </row>
    <row r="3" spans="1:40" x14ac:dyDescent="0.25">
      <c r="A3" s="67" t="str">
        <f t="shared" ref="A3:A6" si="0">IF(D3=0,"",D3)</f>
        <v>University of team 14</v>
      </c>
      <c r="D3" t="str">
        <v>University of team 14</v>
      </c>
      <c r="E3" s="68"/>
      <c r="F3" s="67" t="str">
        <f t="shared" ref="F3:F6" si="1">IF(I3=0,"",I3)</f>
        <v>University of team 7</v>
      </c>
      <c r="I3" t="str">
        <v>University of team 7</v>
      </c>
      <c r="J3" s="68"/>
      <c r="K3" s="67" t="str">
        <f t="shared" ref="K3:K6" si="2">IF(N3=0,"",N3)</f>
        <v>University of team 1</v>
      </c>
      <c r="N3" t="str">
        <v>University of team 1</v>
      </c>
      <c r="O3" s="68"/>
      <c r="P3" s="67" t="str">
        <f t="shared" ref="P3:P6" si="3">IF(S3=0,"",S3)</f>
        <v/>
      </c>
      <c r="S3">
        <v>0</v>
      </c>
      <c r="T3" s="68"/>
      <c r="V3" s="69" t="str" cm="1">
        <f t="array" ref="V3:W3">D63:E63</f>
        <v>University of team 35</v>
      </c>
      <c r="W3" s="70">
        <v>0.71875</v>
      </c>
      <c r="X3" s="71" t="str" cm="1">
        <f t="array" ref="X3:Y3">D64:E64</f>
        <v>University of team 13</v>
      </c>
      <c r="Y3" s="72">
        <v>0.53921568627450978</v>
      </c>
      <c r="Z3" s="69" t="str" cm="1">
        <f t="array" ref="Z3:AA3">D65:E65</f>
        <v>University of team 18</v>
      </c>
      <c r="AA3" s="70">
        <v>0.49206349206349204</v>
      </c>
      <c r="AB3" s="71" t="str" cm="1">
        <f t="array" ref="AB3:AC3">D66:E66</f>
        <v>University of team 32</v>
      </c>
      <c r="AC3" s="72">
        <v>0.33962264150943394</v>
      </c>
      <c r="AD3" s="69" cm="1">
        <f t="array" ref="AD3:AE3">D67:E67</f>
        <v>0</v>
      </c>
      <c r="AE3" s="73">
        <v>0</v>
      </c>
      <c r="AF3" s="74" t="str">
        <v>University of team 4</v>
      </c>
      <c r="AG3" s="75">
        <v>5.7349397590361448</v>
      </c>
      <c r="AH3" s="76" t="str">
        <v>University of team 4</v>
      </c>
      <c r="AI3" s="77">
        <v>5.7349397590361448</v>
      </c>
      <c r="AJ3" s="78" t="str">
        <v>University of team 4</v>
      </c>
      <c r="AK3" s="79" t="s">
        <v>140</v>
      </c>
      <c r="AL3" s="80" t="s">
        <v>148</v>
      </c>
      <c r="AM3" s="80" t="s">
        <v>155</v>
      </c>
      <c r="AN3" s="81"/>
    </row>
    <row r="4" spans="1:40" x14ac:dyDescent="0.25">
      <c r="A4" s="67" t="str">
        <f t="shared" si="0"/>
        <v>University of team 20</v>
      </c>
      <c r="D4" t="str">
        <v>University of team 20</v>
      </c>
      <c r="E4" s="68"/>
      <c r="F4" s="67" t="str">
        <f t="shared" si="1"/>
        <v>University of team 6</v>
      </c>
      <c r="I4" t="str">
        <v>University of team 6</v>
      </c>
      <c r="J4" s="68"/>
      <c r="K4" s="67" t="str">
        <f t="shared" si="2"/>
        <v>University of team 3</v>
      </c>
      <c r="N4" t="str">
        <v>University of team 3</v>
      </c>
      <c r="O4" s="68"/>
      <c r="P4" s="67" t="str">
        <f t="shared" si="3"/>
        <v/>
      </c>
      <c r="S4">
        <v>0</v>
      </c>
      <c r="T4" s="68"/>
      <c r="V4" s="69" t="str" cm="1">
        <f t="array" ref="V4:W4">D99:E99</f>
        <v>University of team 27</v>
      </c>
      <c r="W4" s="70">
        <v>0.49382716049382713</v>
      </c>
      <c r="X4" s="71" t="str" cm="1">
        <f t="array" ref="X4:Y4">D100:E100</f>
        <v>University of team 28</v>
      </c>
      <c r="Y4" s="72">
        <v>0.66265060240963858</v>
      </c>
      <c r="Z4" s="69" t="str" cm="1">
        <f t="array" ref="Z4:AA4">D101:E101</f>
        <v>University of team 29</v>
      </c>
      <c r="AA4" s="70">
        <v>0.43902439024390244</v>
      </c>
      <c r="AB4" s="71" t="str" cm="1">
        <f t="array" ref="AB4:AC4">D102:E102</f>
        <v>University of team 30</v>
      </c>
      <c r="AC4" s="72">
        <v>0.37878787878787878</v>
      </c>
      <c r="AD4" s="69" cm="1">
        <f t="array" ref="AD4:AE4">D103:E103</f>
        <v>0</v>
      </c>
      <c r="AE4" s="73">
        <v>0</v>
      </c>
      <c r="AF4" s="74" t="str">
        <v>University of team 35</v>
      </c>
      <c r="AG4" s="75">
        <v>5.71875</v>
      </c>
      <c r="AH4" s="76" t="str">
        <v>University of team 35</v>
      </c>
      <c r="AI4" s="77">
        <v>5.71875</v>
      </c>
      <c r="AJ4" s="78" t="str">
        <v>University of team 35</v>
      </c>
      <c r="AK4" s="79" t="s">
        <v>171</v>
      </c>
      <c r="AL4" s="80" t="s">
        <v>137</v>
      </c>
      <c r="AM4" s="80" t="s">
        <v>139</v>
      </c>
      <c r="AN4" s="81"/>
    </row>
    <row r="5" spans="1:40" x14ac:dyDescent="0.25">
      <c r="A5" s="67" t="str">
        <f t="shared" si="0"/>
        <v>University of team 34</v>
      </c>
      <c r="D5" t="str">
        <v>University of team 34</v>
      </c>
      <c r="E5" s="68"/>
      <c r="F5" s="67" t="str">
        <f t="shared" si="1"/>
        <v>University of team 10</v>
      </c>
      <c r="I5" t="str">
        <v>University of team 10</v>
      </c>
      <c r="J5" s="68"/>
      <c r="K5" s="67" t="str">
        <f t="shared" si="2"/>
        <v>University of team 36</v>
      </c>
      <c r="N5" t="str">
        <v>University of team 36</v>
      </c>
      <c r="O5" s="68"/>
      <c r="P5" s="67" t="str">
        <f t="shared" si="3"/>
        <v/>
      </c>
      <c r="S5">
        <v>0</v>
      </c>
      <c r="T5" s="68"/>
      <c r="V5" s="69" t="str" cm="1">
        <f t="array" ref="V5:W5">D135:E135</f>
        <v>University of team 2</v>
      </c>
      <c r="W5" s="70">
        <v>0.55660377358490565</v>
      </c>
      <c r="X5" s="71" t="str" cm="1">
        <f t="array" ref="X5:Y5">D136:E136</f>
        <v>University of team 12</v>
      </c>
      <c r="Y5" s="72">
        <v>0.48623853211009177</v>
      </c>
      <c r="Z5" s="69" t="str" cm="1">
        <f t="array" ref="Z5:AA5">D137:E137</f>
        <v>University of team 23</v>
      </c>
      <c r="AA5" s="70">
        <v>0.44210526315789472</v>
      </c>
      <c r="AB5" s="71" t="str" cm="1">
        <f t="array" ref="AB5:AC5">D138:E138</f>
        <v>University of team 19</v>
      </c>
      <c r="AC5" s="72">
        <v>0.51063829787234039</v>
      </c>
      <c r="AD5" s="69" cm="1">
        <f t="array" ref="AD5:AE5">D139:E139</f>
        <v>0</v>
      </c>
      <c r="AE5" s="73">
        <v>0</v>
      </c>
      <c r="AF5" s="74" t="str">
        <v>University of team 16</v>
      </c>
      <c r="AG5" s="75">
        <v>5.7142857142857144</v>
      </c>
      <c r="AH5" s="76" t="str">
        <v>University of team 16</v>
      </c>
      <c r="AI5" s="77">
        <v>5.7142857142857144</v>
      </c>
      <c r="AJ5" s="78" t="str">
        <v>University of team 16</v>
      </c>
      <c r="AK5" s="79" t="s">
        <v>152</v>
      </c>
      <c r="AL5" s="80" t="s">
        <v>154</v>
      </c>
      <c r="AM5" s="80" t="s">
        <v>166</v>
      </c>
      <c r="AN5" s="81"/>
    </row>
    <row r="6" spans="1:40" x14ac:dyDescent="0.25">
      <c r="A6" s="67" t="str">
        <f t="shared" si="0"/>
        <v/>
      </c>
      <c r="D6">
        <v>0</v>
      </c>
      <c r="E6" s="68"/>
      <c r="F6" s="67" t="str">
        <f t="shared" si="1"/>
        <v/>
      </c>
      <c r="I6">
        <v>0</v>
      </c>
      <c r="J6" s="68"/>
      <c r="K6" s="67" t="str">
        <f t="shared" si="2"/>
        <v/>
      </c>
      <c r="N6">
        <v>0</v>
      </c>
      <c r="O6" s="68"/>
      <c r="P6" s="67" t="str">
        <f t="shared" si="3"/>
        <v/>
      </c>
      <c r="S6">
        <v>0</v>
      </c>
      <c r="T6" s="68"/>
      <c r="V6" s="69" t="str" cm="1">
        <f t="array" ref="V6:W6">I27:J27</f>
        <v>University of team 6</v>
      </c>
      <c r="W6" s="70">
        <v>0.57272727272727275</v>
      </c>
      <c r="X6" s="71" t="str" cm="1">
        <f t="array" ref="X6:Y6">I28:J28</f>
        <v>University of team 10</v>
      </c>
      <c r="Y6" s="72">
        <v>0.6228070175438597</v>
      </c>
      <c r="Z6" s="69" t="str" cm="1">
        <f t="array" ref="Z6:AA6">I29:J29</f>
        <v>University of team 25</v>
      </c>
      <c r="AA6" s="70">
        <v>0.41052631578947368</v>
      </c>
      <c r="AB6" s="71" t="str" cm="1">
        <f t="array" ref="AB6:AC6">I30:J30</f>
        <v>University of team 7</v>
      </c>
      <c r="AC6" s="72">
        <v>0.36633663366336633</v>
      </c>
      <c r="AD6" s="69" cm="1">
        <f t="array" ref="AD6:AE6">I31:J31</f>
        <v>0</v>
      </c>
      <c r="AE6" s="73">
        <v>0</v>
      </c>
      <c r="AF6" s="74" t="str">
        <v>University of team 6</v>
      </c>
      <c r="AG6" s="75">
        <v>5.5727272727272723</v>
      </c>
      <c r="AH6" s="76" t="str">
        <v>University of team 6</v>
      </c>
      <c r="AI6" s="77">
        <v>5.5727272727272723</v>
      </c>
      <c r="AJ6" s="78" t="str">
        <v>University of team 6</v>
      </c>
      <c r="AK6" s="79" t="s">
        <v>142</v>
      </c>
      <c r="AL6" s="80" t="s">
        <v>157</v>
      </c>
      <c r="AM6" s="80" t="s">
        <v>170</v>
      </c>
      <c r="AN6" s="81"/>
    </row>
    <row r="7" spans="1:40" x14ac:dyDescent="0.25">
      <c r="A7" s="67"/>
      <c r="E7" s="68"/>
      <c r="F7" s="67"/>
      <c r="J7" s="68"/>
      <c r="K7" s="67"/>
      <c r="O7" s="68"/>
      <c r="P7" s="67"/>
      <c r="T7" s="68"/>
      <c r="V7" s="69" t="str" cm="1">
        <f t="array" ref="V7:W7">I63:J63</f>
        <v>University of team 8</v>
      </c>
      <c r="W7" s="70">
        <v>0.52325581395348841</v>
      </c>
      <c r="X7" s="71" t="str" cm="1">
        <f t="array" ref="X7:Y7">I64:J64</f>
        <v>University of team 9</v>
      </c>
      <c r="Y7" s="72">
        <v>0.66666666666666663</v>
      </c>
      <c r="Z7" s="69" t="str" cm="1">
        <f t="array" ref="Z7:AA7">I65:J65</f>
        <v>University of team 21</v>
      </c>
      <c r="AA7" s="70">
        <v>0.48421052631578948</v>
      </c>
      <c r="AB7" s="71" t="str" cm="1">
        <f t="array" ref="AB7:AC7">I66:J66</f>
        <v>University of team 11</v>
      </c>
      <c r="AC7" s="72">
        <v>0.32</v>
      </c>
      <c r="AD7" s="69" cm="1">
        <f t="array" ref="AD7:AE7">I67:J67</f>
        <v>0</v>
      </c>
      <c r="AE7" s="73">
        <v>0</v>
      </c>
      <c r="AF7" s="74" t="str">
        <v>University of team 2</v>
      </c>
      <c r="AG7" s="75">
        <v>5.5566037735849054</v>
      </c>
      <c r="AH7" s="76" t="str">
        <v>University of team 2</v>
      </c>
      <c r="AI7" s="77">
        <v>5.5566037735849054</v>
      </c>
      <c r="AJ7" s="78" t="str">
        <v>University of team 2</v>
      </c>
      <c r="AK7" s="79" t="s">
        <v>138</v>
      </c>
      <c r="AL7" s="80" t="s">
        <v>159</v>
      </c>
      <c r="AM7" s="80" t="s">
        <v>143</v>
      </c>
      <c r="AN7" s="81"/>
    </row>
    <row r="8" spans="1:40" x14ac:dyDescent="0.25">
      <c r="A8" s="67" t="str">
        <f>A2</f>
        <v>University of team 16</v>
      </c>
      <c r="B8">
        <v>12</v>
      </c>
      <c r="C8">
        <v>5</v>
      </c>
      <c r="D8" t="str">
        <f>A3</f>
        <v>University of team 14</v>
      </c>
      <c r="E8" s="68"/>
      <c r="F8" s="67" t="str">
        <f>F2</f>
        <v>University of team 25</v>
      </c>
      <c r="G8">
        <v>23</v>
      </c>
      <c r="H8">
        <v>5</v>
      </c>
      <c r="I8" t="str">
        <f>F3</f>
        <v>University of team 7</v>
      </c>
      <c r="J8" s="68"/>
      <c r="K8" s="67" t="str">
        <f>K2</f>
        <v>University of team 33</v>
      </c>
      <c r="L8">
        <v>7</v>
      </c>
      <c r="M8">
        <v>5</v>
      </c>
      <c r="N8" t="str">
        <f>K3</f>
        <v>University of team 1</v>
      </c>
      <c r="O8" s="68"/>
      <c r="P8" s="67" t="str">
        <f>P2</f>
        <v/>
      </c>
      <c r="S8" t="str">
        <f>P3</f>
        <v/>
      </c>
      <c r="T8" s="68"/>
      <c r="V8" s="69" t="str" cm="1">
        <f t="array" ref="V8:W8">I99:J99</f>
        <v>University of team 22</v>
      </c>
      <c r="W8" s="70">
        <v>0.765625</v>
      </c>
      <c r="X8" s="71" t="str" cm="1">
        <f t="array" ref="X8:Y8">I100:J100</f>
        <v>University of team 26</v>
      </c>
      <c r="Y8" s="72">
        <v>0.70422535211267601</v>
      </c>
      <c r="Z8" s="69" t="str" cm="1">
        <f t="array" ref="Z8:AA8">I101:J101</f>
        <v>University of team 24</v>
      </c>
      <c r="AA8" s="70">
        <v>0.44155844155844154</v>
      </c>
      <c r="AB8" s="71" t="str" cm="1">
        <f t="array" ref="AB8:AC8">I102:J102</f>
        <v>University of team 17</v>
      </c>
      <c r="AC8" s="72">
        <v>0.14473684210526316</v>
      </c>
      <c r="AD8" s="69" cm="1">
        <f t="array" ref="AD8:AE8">I103:J103</f>
        <v>0</v>
      </c>
      <c r="AE8" s="73">
        <v>0</v>
      </c>
      <c r="AF8" s="74" t="str">
        <v>University of team 8</v>
      </c>
      <c r="AG8" s="75">
        <v>5.5232558139534884</v>
      </c>
      <c r="AH8" s="76" t="str">
        <v>University of team 8</v>
      </c>
      <c r="AI8" s="77">
        <v>5.5232558139534884</v>
      </c>
      <c r="AJ8" s="78" t="str">
        <v>University of team 8</v>
      </c>
      <c r="AK8" s="79" t="s">
        <v>144</v>
      </c>
      <c r="AL8" s="80" t="s">
        <v>160</v>
      </c>
      <c r="AM8" s="80" t="s">
        <v>151</v>
      </c>
      <c r="AN8" s="81"/>
    </row>
    <row r="9" spans="1:40" x14ac:dyDescent="0.25">
      <c r="A9" s="67" t="str">
        <f>A2</f>
        <v>University of team 16</v>
      </c>
      <c r="B9">
        <v>28</v>
      </c>
      <c r="C9">
        <v>13</v>
      </c>
      <c r="D9" t="str">
        <f>A4</f>
        <v>University of team 20</v>
      </c>
      <c r="E9" s="68"/>
      <c r="F9" s="67" t="str">
        <f>F2</f>
        <v>University of team 25</v>
      </c>
      <c r="G9">
        <v>4</v>
      </c>
      <c r="H9">
        <v>28</v>
      </c>
      <c r="I9" t="str">
        <f>F4</f>
        <v>University of team 6</v>
      </c>
      <c r="J9" s="68"/>
      <c r="K9" s="67" t="str">
        <f>K2</f>
        <v>University of team 33</v>
      </c>
      <c r="L9">
        <v>13</v>
      </c>
      <c r="M9">
        <v>6</v>
      </c>
      <c r="N9" t="str">
        <f>K4</f>
        <v>University of team 3</v>
      </c>
      <c r="O9" s="68"/>
      <c r="P9" s="67" t="str">
        <f>P2</f>
        <v/>
      </c>
      <c r="S9" t="str">
        <f>P4</f>
        <v/>
      </c>
      <c r="T9" s="68"/>
      <c r="V9" s="69" t="str" cm="1">
        <f t="array" ref="V9:W9">I135:J135</f>
        <v>University of team 4</v>
      </c>
      <c r="W9" s="70">
        <v>0.73493975903614461</v>
      </c>
      <c r="X9" s="71" t="str" cm="1">
        <f t="array" ref="X9:Y9">I136:J136</f>
        <v>University of team 31</v>
      </c>
      <c r="Y9" s="72">
        <v>0.53333333333333333</v>
      </c>
      <c r="Z9" s="69" t="str" cm="1">
        <f t="array" ref="Z9:AA9">I137:J137</f>
        <v>University of team 5</v>
      </c>
      <c r="AA9" s="70">
        <v>0.39325842696629215</v>
      </c>
      <c r="AB9" s="71" t="str" cm="1">
        <f t="array" ref="AB9:AC9">I138:J138</f>
        <v>University of team 15</v>
      </c>
      <c r="AC9" s="72">
        <v>0.35632183908045978</v>
      </c>
      <c r="AD9" s="69" cm="1">
        <f t="array" ref="AD9:AE9">I139:J139</f>
        <v>0</v>
      </c>
      <c r="AE9" s="73">
        <v>0</v>
      </c>
      <c r="AF9" s="74" t="str">
        <v>University of team 27</v>
      </c>
      <c r="AG9" s="75">
        <v>5.4938271604938276</v>
      </c>
      <c r="AH9" s="76" t="str">
        <v>University of team 27</v>
      </c>
      <c r="AI9" s="77">
        <v>5.4938271604938276</v>
      </c>
      <c r="AJ9" s="78" t="str">
        <v>University of team 27</v>
      </c>
      <c r="AK9" s="79" t="s">
        <v>163</v>
      </c>
      <c r="AL9" s="80" t="s">
        <v>165</v>
      </c>
      <c r="AM9" s="80" t="s">
        <v>168</v>
      </c>
      <c r="AN9" s="81"/>
    </row>
    <row r="10" spans="1:40" x14ac:dyDescent="0.25">
      <c r="A10" s="67" t="str">
        <f>A2</f>
        <v>University of team 16</v>
      </c>
      <c r="B10">
        <v>25</v>
      </c>
      <c r="C10">
        <v>8</v>
      </c>
      <c r="D10" t="str">
        <f>A5</f>
        <v>University of team 34</v>
      </c>
      <c r="E10" s="68"/>
      <c r="F10" s="67" t="str">
        <f>F2</f>
        <v>University of team 25</v>
      </c>
      <c r="G10">
        <v>12</v>
      </c>
      <c r="H10">
        <v>23</v>
      </c>
      <c r="I10" t="str">
        <f>F5</f>
        <v>University of team 10</v>
      </c>
      <c r="J10" s="68"/>
      <c r="K10" s="67" t="str">
        <f>K2</f>
        <v>University of team 33</v>
      </c>
      <c r="L10">
        <v>21</v>
      </c>
      <c r="M10">
        <v>29</v>
      </c>
      <c r="N10" t="str">
        <f>K5</f>
        <v>University of team 36</v>
      </c>
      <c r="O10" s="68"/>
      <c r="P10" s="67" t="str">
        <f>P2</f>
        <v/>
      </c>
      <c r="S10" t="str">
        <f>P5</f>
        <v/>
      </c>
      <c r="T10" s="68"/>
      <c r="V10" s="69" t="str" cm="1">
        <f t="array" ref="V10:W10">N27:O27</f>
        <v>University of team 36</v>
      </c>
      <c r="W10" s="70">
        <v>0.46666666666666667</v>
      </c>
      <c r="X10" s="71" t="str" cm="1">
        <f t="array" ref="X10:Y10">N28:O28</f>
        <v>University of team 33</v>
      </c>
      <c r="Y10" s="72">
        <v>0.50617283950617287</v>
      </c>
      <c r="Z10" s="69" t="str" cm="1">
        <f t="array" ref="Z10:AA10">N29:O29</f>
        <v>University of team 1</v>
      </c>
      <c r="AA10" s="70">
        <v>0.61224489795918369</v>
      </c>
      <c r="AB10" s="71" t="str" cm="1">
        <f t="array" ref="AB10:AC10">N30:O30</f>
        <v>University of team 3</v>
      </c>
      <c r="AC10" s="72">
        <v>0.44927536231884058</v>
      </c>
      <c r="AD10" s="69" cm="1">
        <f t="array" ref="AD10:AE10">N31:O31</f>
        <v>0</v>
      </c>
      <c r="AE10" s="73">
        <v>0</v>
      </c>
      <c r="AF10" s="74" t="str">
        <v>University of team 36</v>
      </c>
      <c r="AG10" s="75">
        <v>5.4666666666666668</v>
      </c>
      <c r="AH10" s="76" t="str">
        <v>University of team 36</v>
      </c>
      <c r="AI10" s="77">
        <v>5.4666666666666668</v>
      </c>
      <c r="AJ10" s="78" t="str">
        <v>University of team 36</v>
      </c>
      <c r="AK10" s="79" t="s">
        <v>172</v>
      </c>
      <c r="AL10" s="80" t="s">
        <v>161</v>
      </c>
      <c r="AM10" s="80" t="s">
        <v>147</v>
      </c>
      <c r="AN10" s="81"/>
    </row>
    <row r="11" spans="1:40" x14ac:dyDescent="0.25">
      <c r="A11" s="67" t="str">
        <f>A2</f>
        <v>University of team 16</v>
      </c>
      <c r="D11" t="str">
        <f>A6</f>
        <v/>
      </c>
      <c r="E11" s="68"/>
      <c r="F11" s="67" t="str">
        <f>F2</f>
        <v>University of team 25</v>
      </c>
      <c r="I11" t="str">
        <f>F6</f>
        <v/>
      </c>
      <c r="J11" s="68"/>
      <c r="K11" s="67" t="str">
        <f>K2</f>
        <v>University of team 33</v>
      </c>
      <c r="N11" t="str">
        <f>K6</f>
        <v/>
      </c>
      <c r="O11" s="68"/>
      <c r="P11" s="67" t="str">
        <f>P2</f>
        <v/>
      </c>
      <c r="S11" t="str">
        <f>P6</f>
        <v/>
      </c>
      <c r="T11" s="68"/>
      <c r="V11" s="69" cm="1">
        <f t="array" ref="V11:W11">N63:O63</f>
        <v>0</v>
      </c>
      <c r="W11" s="70">
        <v>0</v>
      </c>
      <c r="X11" s="71" cm="1">
        <f t="array" ref="X11:Y11">N64:O64</f>
        <v>0</v>
      </c>
      <c r="Y11" s="72">
        <v>0</v>
      </c>
      <c r="Z11" s="69" cm="1">
        <f t="array" ref="Z11:AA11">N65:O65</f>
        <v>0</v>
      </c>
      <c r="AA11" s="70">
        <v>0</v>
      </c>
      <c r="AB11" s="71" cm="1">
        <f t="array" ref="AB11:AC11">N66:O66</f>
        <v>0</v>
      </c>
      <c r="AC11" s="72">
        <v>0</v>
      </c>
      <c r="AD11" s="69" cm="1">
        <f t="array" ref="AD11:AE11">N67:O67</f>
        <v>0</v>
      </c>
      <c r="AE11" s="73">
        <v>0</v>
      </c>
      <c r="AF11" s="74" t="str">
        <v/>
      </c>
      <c r="AG11" s="75">
        <v>0</v>
      </c>
      <c r="AH11" s="76" t="str">
        <v>University of team 26</v>
      </c>
      <c r="AI11" s="77">
        <v>4.704225352112676</v>
      </c>
      <c r="AJ11" s="78" t="str">
        <v>University of team 26</v>
      </c>
      <c r="AK11" s="79" t="s">
        <v>162</v>
      </c>
      <c r="AL11" s="80" t="s">
        <v>141</v>
      </c>
      <c r="AM11" s="80" t="s">
        <v>153</v>
      </c>
      <c r="AN11" s="81"/>
    </row>
    <row r="12" spans="1:40" x14ac:dyDescent="0.25">
      <c r="A12" s="67" t="str">
        <f>A3</f>
        <v>University of team 14</v>
      </c>
      <c r="B12">
        <v>15</v>
      </c>
      <c r="C12">
        <v>6</v>
      </c>
      <c r="D12" t="str">
        <f>A4</f>
        <v>University of team 20</v>
      </c>
      <c r="E12" s="68"/>
      <c r="F12" s="67" t="str">
        <f>F3</f>
        <v>University of team 7</v>
      </c>
      <c r="G12">
        <v>25</v>
      </c>
      <c r="H12">
        <v>11</v>
      </c>
      <c r="I12" t="str">
        <f>F4</f>
        <v>University of team 6</v>
      </c>
      <c r="J12" s="68"/>
      <c r="K12" s="67" t="str">
        <f>K3</f>
        <v>University of team 1</v>
      </c>
      <c r="L12">
        <v>23</v>
      </c>
      <c r="M12">
        <v>8</v>
      </c>
      <c r="N12" t="str">
        <f>K4</f>
        <v>University of team 3</v>
      </c>
      <c r="O12" s="68"/>
      <c r="P12" s="67" t="str">
        <f>P3</f>
        <v/>
      </c>
      <c r="S12" t="str">
        <f>P4</f>
        <v/>
      </c>
      <c r="T12" s="68"/>
      <c r="V12" s="69" cm="1">
        <f t="array" ref="V12:W12">N99:O99</f>
        <v>0</v>
      </c>
      <c r="W12" s="70">
        <v>0</v>
      </c>
      <c r="X12" s="71" cm="1">
        <f t="array" ref="X12:Y12">N100:O100</f>
        <v>0</v>
      </c>
      <c r="Y12" s="72">
        <v>0</v>
      </c>
      <c r="Z12" s="69" cm="1">
        <f t="array" ref="Z12:AA12">N101:O101</f>
        <v>0</v>
      </c>
      <c r="AA12" s="70">
        <v>0</v>
      </c>
      <c r="AB12" s="71" cm="1">
        <f t="array" ref="AB12:AC12">N102:O102</f>
        <v>0</v>
      </c>
      <c r="AC12" s="72">
        <v>0</v>
      </c>
      <c r="AD12" s="69" cm="1">
        <f t="array" ref="AD12:AE12">N103:O103</f>
        <v>0</v>
      </c>
      <c r="AE12" s="73">
        <v>0</v>
      </c>
      <c r="AF12" s="74" t="str">
        <v/>
      </c>
      <c r="AG12" s="75">
        <v>0</v>
      </c>
      <c r="AH12" s="76" t="str">
        <v>University of team 9</v>
      </c>
      <c r="AI12" s="77">
        <v>4.666666666666667</v>
      </c>
      <c r="AJ12" s="78" t="str">
        <v>University of team 9</v>
      </c>
      <c r="AK12" s="79" t="s">
        <v>145</v>
      </c>
      <c r="AL12" s="80"/>
      <c r="AM12" s="80"/>
      <c r="AN12" s="81"/>
    </row>
    <row r="13" spans="1:40" x14ac:dyDescent="0.25">
      <c r="A13" s="67" t="str">
        <f>A3</f>
        <v>University of team 14</v>
      </c>
      <c r="B13">
        <v>4</v>
      </c>
      <c r="C13">
        <v>5</v>
      </c>
      <c r="D13" t="str">
        <f>A5</f>
        <v>University of team 34</v>
      </c>
      <c r="E13" s="68"/>
      <c r="F13" s="67" t="str">
        <f>F3</f>
        <v>University of team 7</v>
      </c>
      <c r="G13">
        <v>7</v>
      </c>
      <c r="H13">
        <v>30</v>
      </c>
      <c r="I13" t="str">
        <f>F5</f>
        <v>University of team 10</v>
      </c>
      <c r="J13" s="68"/>
      <c r="K13" s="67" t="str">
        <f>K3</f>
        <v>University of team 1</v>
      </c>
      <c r="L13">
        <v>2</v>
      </c>
      <c r="M13">
        <v>4</v>
      </c>
      <c r="N13" t="str">
        <f>K5</f>
        <v>University of team 36</v>
      </c>
      <c r="O13" s="68"/>
      <c r="P13" s="67" t="str">
        <f>P3</f>
        <v/>
      </c>
      <c r="S13" t="str">
        <f>P5</f>
        <v/>
      </c>
      <c r="T13" s="68"/>
      <c r="V13" s="69" cm="1">
        <f t="array" ref="V13:W13">N135:O135</f>
        <v>0</v>
      </c>
      <c r="W13" s="70">
        <v>0</v>
      </c>
      <c r="X13" s="71" cm="1">
        <f t="array" ref="X13:Y13">N136:O136</f>
        <v>0</v>
      </c>
      <c r="Y13" s="72">
        <v>0</v>
      </c>
      <c r="Z13" s="69" cm="1">
        <f t="array" ref="Z13:AA13">N137:O137</f>
        <v>0</v>
      </c>
      <c r="AA13" s="70">
        <v>0</v>
      </c>
      <c r="AB13" s="71" cm="1">
        <f t="array" ref="AB13:AC13">N138:O138</f>
        <v>0</v>
      </c>
      <c r="AC13" s="72">
        <v>0</v>
      </c>
      <c r="AD13" s="69" cm="1">
        <f t="array" ref="AD13:AE13">N139:O139</f>
        <v>0</v>
      </c>
      <c r="AE13" s="73">
        <v>0</v>
      </c>
      <c r="AF13" s="74" t="str">
        <v/>
      </c>
      <c r="AG13" s="75">
        <v>0</v>
      </c>
      <c r="AH13" s="76" t="str">
        <v>University of team 28</v>
      </c>
      <c r="AI13" s="77">
        <v>4.6626506024096388</v>
      </c>
      <c r="AJ13" s="78" t="str">
        <v>University of team 28</v>
      </c>
      <c r="AK13" s="79" t="s">
        <v>164</v>
      </c>
      <c r="AL13" s="80"/>
      <c r="AM13" s="80"/>
      <c r="AN13" s="81"/>
    </row>
    <row r="14" spans="1:40" x14ac:dyDescent="0.25">
      <c r="A14" s="67" t="str">
        <f>A3</f>
        <v>University of team 14</v>
      </c>
      <c r="D14" t="str">
        <f>A6</f>
        <v/>
      </c>
      <c r="E14" s="68"/>
      <c r="F14" s="67" t="str">
        <f>F3</f>
        <v>University of team 7</v>
      </c>
      <c r="I14" t="str">
        <f>F6</f>
        <v/>
      </c>
      <c r="J14" s="68"/>
      <c r="K14" s="67" t="str">
        <f>K3</f>
        <v>University of team 1</v>
      </c>
      <c r="N14" t="str">
        <f>K6</f>
        <v/>
      </c>
      <c r="O14" s="68"/>
      <c r="P14" s="67" t="str">
        <f>P3</f>
        <v/>
      </c>
      <c r="S14" t="str">
        <f>P6</f>
        <v/>
      </c>
      <c r="T14" s="68"/>
      <c r="V14" s="69" cm="1">
        <f t="array" ref="V14:W14">S27:T27</f>
        <v>0</v>
      </c>
      <c r="W14" s="70">
        <v>0</v>
      </c>
      <c r="X14" s="71" cm="1">
        <f t="array" ref="X14:Y14">S28:T28</f>
        <v>0</v>
      </c>
      <c r="Y14" s="72">
        <v>0</v>
      </c>
      <c r="Z14" s="69" cm="1">
        <f t="array" ref="Z14:AA14">S29:T29</f>
        <v>0</v>
      </c>
      <c r="AA14" s="70">
        <v>0</v>
      </c>
      <c r="AB14" s="71" cm="1">
        <f t="array" ref="AB14:AC14">S30:T30</f>
        <v>0</v>
      </c>
      <c r="AC14" s="72">
        <v>0</v>
      </c>
      <c r="AD14" s="69" cm="1">
        <f t="array" ref="AD14:AE14">S31:T31</f>
        <v>0</v>
      </c>
      <c r="AE14" s="73">
        <v>0</v>
      </c>
      <c r="AF14" s="74" t="str">
        <v/>
      </c>
      <c r="AG14" s="75">
        <v>0</v>
      </c>
      <c r="AH14" s="76" t="str">
        <v>University of team 10</v>
      </c>
      <c r="AI14" s="77">
        <v>4.6228070175438596</v>
      </c>
      <c r="AJ14" s="78" t="str">
        <v>University of team 10</v>
      </c>
      <c r="AK14" s="79" t="s">
        <v>146</v>
      </c>
      <c r="AL14" s="80"/>
      <c r="AM14" s="80"/>
      <c r="AN14" s="81"/>
    </row>
    <row r="15" spans="1:40" x14ac:dyDescent="0.25">
      <c r="A15" s="67" t="str">
        <f>A4</f>
        <v>University of team 20</v>
      </c>
      <c r="B15">
        <v>19</v>
      </c>
      <c r="C15">
        <v>16</v>
      </c>
      <c r="D15" t="str">
        <f>A5</f>
        <v>University of team 34</v>
      </c>
      <c r="E15" s="68"/>
      <c r="F15" s="67" t="str">
        <f>F4</f>
        <v>University of team 6</v>
      </c>
      <c r="G15">
        <v>24</v>
      </c>
      <c r="H15">
        <v>18</v>
      </c>
      <c r="I15" t="str">
        <f>F5</f>
        <v>University of team 10</v>
      </c>
      <c r="J15" s="68"/>
      <c r="K15" s="67" t="str">
        <f>K4</f>
        <v>University of team 3</v>
      </c>
      <c r="L15">
        <v>17</v>
      </c>
      <c r="M15">
        <v>2</v>
      </c>
      <c r="N15" t="str">
        <f>K5</f>
        <v>University of team 36</v>
      </c>
      <c r="O15" s="68"/>
      <c r="P15" s="67" t="str">
        <f>P4</f>
        <v/>
      </c>
      <c r="S15" t="str">
        <f>P5</f>
        <v/>
      </c>
      <c r="T15" s="68"/>
      <c r="V15" s="69" cm="1">
        <f t="array" ref="V15:W15">S63:T63</f>
        <v>0</v>
      </c>
      <c r="W15" s="70">
        <v>0</v>
      </c>
      <c r="X15" s="71" cm="1">
        <f t="array" ref="X15:Y15">S64:T64</f>
        <v>0</v>
      </c>
      <c r="Y15" s="72">
        <v>0</v>
      </c>
      <c r="Z15" s="69" cm="1">
        <f t="array" ref="Z15:AA15">S65:T65</f>
        <v>0</v>
      </c>
      <c r="AA15" s="70">
        <v>0</v>
      </c>
      <c r="AB15" s="71" cm="1">
        <f t="array" ref="AB15:AC15">S66:T66</f>
        <v>0</v>
      </c>
      <c r="AC15" s="72">
        <v>0</v>
      </c>
      <c r="AD15" s="69" cm="1">
        <f t="array" ref="AD15:AE15">S67:T67</f>
        <v>0</v>
      </c>
      <c r="AE15" s="73">
        <v>0</v>
      </c>
      <c r="AF15" s="74" t="str">
        <v/>
      </c>
      <c r="AG15" s="75">
        <v>0</v>
      </c>
      <c r="AH15" s="76" t="str">
        <v>University of team 13</v>
      </c>
      <c r="AI15" s="77">
        <v>4.5392156862745097</v>
      </c>
      <c r="AJ15" s="78" t="str">
        <v>University of team 13</v>
      </c>
      <c r="AK15" s="79" t="s">
        <v>149</v>
      </c>
      <c r="AL15" s="80"/>
      <c r="AM15" s="80"/>
      <c r="AN15" s="81"/>
    </row>
    <row r="16" spans="1:40" x14ac:dyDescent="0.25">
      <c r="A16" s="67" t="str">
        <f>A4</f>
        <v>University of team 20</v>
      </c>
      <c r="D16" t="str">
        <f>A6</f>
        <v/>
      </c>
      <c r="E16" s="68"/>
      <c r="F16" s="67" t="str">
        <f>F4</f>
        <v>University of team 6</v>
      </c>
      <c r="I16" t="str">
        <f>F6</f>
        <v/>
      </c>
      <c r="J16" s="68"/>
      <c r="K16" s="67" t="str">
        <f>K4</f>
        <v>University of team 3</v>
      </c>
      <c r="N16" t="str">
        <f>K6</f>
        <v/>
      </c>
      <c r="O16" s="68"/>
      <c r="P16" s="67" t="str">
        <f>P4</f>
        <v/>
      </c>
      <c r="S16" t="str">
        <f>P6</f>
        <v/>
      </c>
      <c r="T16" s="68"/>
      <c r="V16" s="69" cm="1">
        <f t="array" ref="V16:W16">S99:T99</f>
        <v>0</v>
      </c>
      <c r="W16" s="70">
        <v>0</v>
      </c>
      <c r="X16" s="71" cm="1">
        <f t="array" ref="X16:Y16">S100:T100</f>
        <v>0</v>
      </c>
      <c r="Y16" s="72">
        <v>0</v>
      </c>
      <c r="Z16" s="69" cm="1">
        <f t="array" ref="Z16:AA16">S101:T101</f>
        <v>0</v>
      </c>
      <c r="AA16" s="70">
        <v>0</v>
      </c>
      <c r="AB16" s="71" cm="1">
        <f t="array" ref="AB16:AC16">S102:T102</f>
        <v>0</v>
      </c>
      <c r="AC16" s="72">
        <v>0</v>
      </c>
      <c r="AD16" s="69" cm="1">
        <f t="array" ref="AD16:AE16">S103:T103</f>
        <v>0</v>
      </c>
      <c r="AE16" s="73">
        <v>0</v>
      </c>
      <c r="AF16" s="74" t="str">
        <v/>
      </c>
      <c r="AG16" s="75">
        <v>0</v>
      </c>
      <c r="AH16" s="76" t="str">
        <v>University of team 31</v>
      </c>
      <c r="AI16" s="77">
        <v>4.5333333333333332</v>
      </c>
      <c r="AJ16" s="78" t="str">
        <v>University of team 31</v>
      </c>
      <c r="AK16" s="79" t="s">
        <v>167</v>
      </c>
      <c r="AL16" s="80"/>
      <c r="AM16" s="80"/>
      <c r="AN16" s="81"/>
    </row>
    <row r="17" spans="1:40" x14ac:dyDescent="0.25">
      <c r="A17" s="67" t="str">
        <f>A5</f>
        <v>University of team 34</v>
      </c>
      <c r="D17" t="str">
        <f>A6</f>
        <v/>
      </c>
      <c r="E17" s="68"/>
      <c r="F17" s="67" t="str">
        <f>F5</f>
        <v>University of team 10</v>
      </c>
      <c r="I17" t="str">
        <f>F6</f>
        <v/>
      </c>
      <c r="J17" s="68"/>
      <c r="K17" s="67" t="str">
        <f>K5</f>
        <v>University of team 36</v>
      </c>
      <c r="N17" t="str">
        <f>K6</f>
        <v/>
      </c>
      <c r="O17" s="68"/>
      <c r="P17" s="67" t="str">
        <f>P5</f>
        <v/>
      </c>
      <c r="S17" t="str">
        <f>P6</f>
        <v/>
      </c>
      <c r="T17" s="68"/>
      <c r="V17" s="69" cm="1">
        <f t="array" ref="V17:W17">S135:T135</f>
        <v>0</v>
      </c>
      <c r="W17" s="70">
        <v>0</v>
      </c>
      <c r="X17" s="71" cm="1">
        <f t="array" ref="X17:Y17">S136:T136</f>
        <v>0</v>
      </c>
      <c r="Y17" s="72">
        <v>0</v>
      </c>
      <c r="Z17" s="69" cm="1">
        <f t="array" ref="Z17:AA17">S137:T137</f>
        <v>0</v>
      </c>
      <c r="AA17" s="70">
        <v>0</v>
      </c>
      <c r="AB17" s="71" cm="1">
        <f t="array" ref="AB17:AC17">S138:T138</f>
        <v>0</v>
      </c>
      <c r="AC17" s="72">
        <v>0</v>
      </c>
      <c r="AD17" s="69" cm="1">
        <f t="array" ref="AD17:AE17">S139:T139</f>
        <v>0</v>
      </c>
      <c r="AE17" s="73">
        <v>0</v>
      </c>
      <c r="AF17" s="74" t="str">
        <v/>
      </c>
      <c r="AG17" s="75">
        <v>0</v>
      </c>
      <c r="AH17" s="76" t="str">
        <v>University of team 14</v>
      </c>
      <c r="AI17" s="77">
        <v>4.5106382978723403</v>
      </c>
      <c r="AJ17" s="78" t="str">
        <v>University of team 14</v>
      </c>
      <c r="AK17" s="79" t="s">
        <v>150</v>
      </c>
      <c r="AL17" s="80"/>
      <c r="AM17" s="80"/>
      <c r="AN17" s="81"/>
    </row>
    <row r="18" spans="1:40" x14ac:dyDescent="0.25">
      <c r="A18" s="67"/>
      <c r="E18" s="68"/>
      <c r="F18" s="67"/>
      <c r="J18" s="68"/>
      <c r="K18" s="67"/>
      <c r="O18" s="68"/>
      <c r="P18" s="67"/>
      <c r="T18" s="68"/>
      <c r="V18" s="82" t="str" cm="1">
        <f t="array" ref="V18:W33">_xlfn.SORTBY(V2:W17,W2:W17,-1)</f>
        <v>University of team 22</v>
      </c>
      <c r="W18" s="83">
        <v>0.765625</v>
      </c>
      <c r="X18" s="84" t="str" cm="1">
        <f t="array" ref="X18:Y33">_xlfn.SORTBY(X2:Y17,Y2:Y17,-1)</f>
        <v>University of team 26</v>
      </c>
      <c r="Y18" s="85">
        <v>0.70422535211267601</v>
      </c>
      <c r="Z18" s="82" t="str" cm="1">
        <f t="array" ref="Z18:AA33">_xlfn.SORTBY(Z2:AA17,AA2:AA17,-1)</f>
        <v>University of team 1</v>
      </c>
      <c r="AA18" s="83">
        <v>0.61224489795918369</v>
      </c>
      <c r="AB18" s="84" t="str" cm="1">
        <f t="array" ref="AB18:AC33">_xlfn.SORTBY(AB2:AC17,AC2:AC17,-1)</f>
        <v>University of team 19</v>
      </c>
      <c r="AC18" s="85">
        <v>0.51063829787234039</v>
      </c>
      <c r="AD18" s="82" cm="1">
        <f t="array" ref="AD18:AE33">_xlfn.SORTBY(AD2:AE17,AE2:AE17,-1)</f>
        <v>0</v>
      </c>
      <c r="AE18" s="86">
        <v>0</v>
      </c>
      <c r="AF18" s="74" t="str" cm="1">
        <f t="array" ref="AF18:AG33">X34:Y49</f>
        <v>University of team 26</v>
      </c>
      <c r="AG18" s="75">
        <v>4.704225352112676</v>
      </c>
      <c r="AH18" s="76" t="str">
        <v>University of team 33</v>
      </c>
      <c r="AI18" s="77">
        <v>4.5061728395061724</v>
      </c>
      <c r="AJ18" s="78" t="str">
        <v>University of team 33</v>
      </c>
      <c r="AK18" s="79"/>
      <c r="AL18" s="80"/>
      <c r="AM18" s="80"/>
      <c r="AN18" s="81"/>
    </row>
    <row r="19" spans="1:40" x14ac:dyDescent="0.25">
      <c r="A19" s="67"/>
      <c r="B19" t="s">
        <v>19</v>
      </c>
      <c r="C19" t="s">
        <v>20</v>
      </c>
      <c r="E19" s="68"/>
      <c r="F19" s="67"/>
      <c r="G19" t="s">
        <v>19</v>
      </c>
      <c r="H19" t="s">
        <v>20</v>
      </c>
      <c r="J19" s="68"/>
      <c r="K19" s="67"/>
      <c r="L19" t="s">
        <v>19</v>
      </c>
      <c r="M19" t="s">
        <v>20</v>
      </c>
      <c r="O19" s="68"/>
      <c r="P19" s="67"/>
      <c r="Q19" t="s">
        <v>19</v>
      </c>
      <c r="R19" t="s">
        <v>20</v>
      </c>
      <c r="T19" s="68"/>
      <c r="V19" s="82" t="str">
        <v>University of team 4</v>
      </c>
      <c r="W19" s="83">
        <v>0.73493975903614461</v>
      </c>
      <c r="X19" s="84" t="str">
        <v>University of team 9</v>
      </c>
      <c r="Y19" s="85">
        <v>0.66666666666666663</v>
      </c>
      <c r="Z19" s="82" t="str">
        <v>University of team 18</v>
      </c>
      <c r="AA19" s="83">
        <v>0.49206349206349204</v>
      </c>
      <c r="AB19" s="84" t="str">
        <v>University of team 3</v>
      </c>
      <c r="AC19" s="85">
        <v>0.44927536231884058</v>
      </c>
      <c r="AD19" s="82">
        <v>0</v>
      </c>
      <c r="AE19" s="86">
        <v>0</v>
      </c>
      <c r="AF19" s="74" t="str">
        <v>University of team 9</v>
      </c>
      <c r="AG19" s="75">
        <v>4.666666666666667</v>
      </c>
      <c r="AH19" s="76" t="str">
        <v>University of team 12</v>
      </c>
      <c r="AI19" s="77">
        <v>4.4862385321100922</v>
      </c>
      <c r="AJ19" s="78" t="str">
        <v>University of team 12</v>
      </c>
      <c r="AK19" s="79"/>
      <c r="AL19" s="80"/>
      <c r="AM19" s="80"/>
      <c r="AN19" s="81"/>
    </row>
    <row r="20" spans="1:40" x14ac:dyDescent="0.25">
      <c r="A20" s="67" t="str">
        <f>A2</f>
        <v>University of team 16</v>
      </c>
      <c r="B20">
        <f>B8+B9+B10+B11</f>
        <v>65</v>
      </c>
      <c r="C20">
        <f>C8+C9+C10+C11+B11+B10+B9+B8</f>
        <v>91</v>
      </c>
      <c r="E20" s="68"/>
      <c r="F20" s="67" t="str">
        <f>F2</f>
        <v>University of team 25</v>
      </c>
      <c r="G20">
        <f>G8+G9+G10+G11</f>
        <v>39</v>
      </c>
      <c r="H20">
        <f>H8+H9+H10+H11+G11+G10+G9+G8</f>
        <v>95</v>
      </c>
      <c r="J20" s="68"/>
      <c r="K20" s="67" t="str">
        <f>K2</f>
        <v>University of team 33</v>
      </c>
      <c r="L20">
        <f>L8+L9+L10+L11</f>
        <v>41</v>
      </c>
      <c r="M20">
        <f>M8+M9+M10+M11+L11+L10+L9+L8</f>
        <v>81</v>
      </c>
      <c r="O20" s="68"/>
      <c r="P20" s="67" t="str">
        <f>P2</f>
        <v/>
      </c>
      <c r="Q20">
        <f>Q8+Q9+Q10+Q11</f>
        <v>0</v>
      </c>
      <c r="R20">
        <f>R8+R9+R10+R11+Q11+Q10+Q9+Q8</f>
        <v>0</v>
      </c>
      <c r="T20" s="68"/>
      <c r="V20" s="82" t="str">
        <v>University of team 35</v>
      </c>
      <c r="W20" s="83">
        <v>0.71875</v>
      </c>
      <c r="X20" s="84" t="str">
        <v>University of team 28</v>
      </c>
      <c r="Y20" s="85">
        <v>0.66265060240963858</v>
      </c>
      <c r="Z20" s="82" t="str">
        <v>University of team 21</v>
      </c>
      <c r="AA20" s="83">
        <v>0.48421052631578948</v>
      </c>
      <c r="AB20" s="84" t="str">
        <v>University of team 30</v>
      </c>
      <c r="AC20" s="85">
        <v>0.37878787878787878</v>
      </c>
      <c r="AD20" s="82">
        <v>0</v>
      </c>
      <c r="AE20" s="86">
        <v>0</v>
      </c>
      <c r="AF20" s="74" t="str">
        <v>University of team 28</v>
      </c>
      <c r="AG20" s="75">
        <v>4.6626506024096388</v>
      </c>
      <c r="AH20" s="76" t="str">
        <v>University of team 1</v>
      </c>
      <c r="AI20" s="77">
        <v>3.6122448979591839</v>
      </c>
      <c r="AJ20" s="78" t="str">
        <v>University of team 1</v>
      </c>
      <c r="AK20" s="79"/>
      <c r="AL20" s="80"/>
      <c r="AM20" s="80"/>
      <c r="AN20" s="81"/>
    </row>
    <row r="21" spans="1:40" x14ac:dyDescent="0.25">
      <c r="A21" s="67" t="str">
        <f>A3</f>
        <v>University of team 14</v>
      </c>
      <c r="B21">
        <f>B12+B13+B14+C8</f>
        <v>24</v>
      </c>
      <c r="C21">
        <f>B12+B13+B14+C12+C13+C14+C8+B8</f>
        <v>47</v>
      </c>
      <c r="E21" s="68"/>
      <c r="F21" s="67" t="str">
        <f>F3</f>
        <v>University of team 7</v>
      </c>
      <c r="G21">
        <f>G12+G13+G14+H8</f>
        <v>37</v>
      </c>
      <c r="H21">
        <f>G12+G13+G14+H12+H13+H14+H8+G8</f>
        <v>101</v>
      </c>
      <c r="J21" s="68"/>
      <c r="K21" s="67" t="str">
        <f>K3</f>
        <v>University of team 1</v>
      </c>
      <c r="L21">
        <f>L12+L13+L14+M8</f>
        <v>30</v>
      </c>
      <c r="M21">
        <f>L12+L13+L14+M12+M13+M14+M8+L8</f>
        <v>49</v>
      </c>
      <c r="O21" s="68"/>
      <c r="P21" s="67" t="str">
        <f>P3</f>
        <v/>
      </c>
      <c r="Q21">
        <f>Q12+Q13+Q14+R8</f>
        <v>0</v>
      </c>
      <c r="R21">
        <f>Q12+Q13+Q14+R12+R13+R14+R8+Q8</f>
        <v>0</v>
      </c>
      <c r="T21" s="68"/>
      <c r="V21" s="82" t="str">
        <v>University of team 16</v>
      </c>
      <c r="W21" s="83">
        <v>0.7142857142857143</v>
      </c>
      <c r="X21" s="84" t="str">
        <v>University of team 10</v>
      </c>
      <c r="Y21" s="85">
        <v>0.6228070175438597</v>
      </c>
      <c r="Z21" s="82" t="str">
        <v>University of team 23</v>
      </c>
      <c r="AA21" s="83">
        <v>0.44210526315789472</v>
      </c>
      <c r="AB21" s="84" t="str">
        <v>University of team 34</v>
      </c>
      <c r="AC21" s="85">
        <v>0.37662337662337664</v>
      </c>
      <c r="AD21" s="82">
        <v>0</v>
      </c>
      <c r="AE21" s="86">
        <v>0</v>
      </c>
      <c r="AF21" s="74" t="str">
        <v>University of team 10</v>
      </c>
      <c r="AG21" s="75">
        <v>4.6228070175438596</v>
      </c>
      <c r="AH21" s="76" t="str">
        <v>University of team 18</v>
      </c>
      <c r="AI21" s="77">
        <v>3.4920634920634921</v>
      </c>
      <c r="AJ21" s="78" t="str">
        <v>University of team 18</v>
      </c>
      <c r="AK21" s="79"/>
      <c r="AL21" s="80"/>
      <c r="AM21" s="80"/>
      <c r="AN21" s="81"/>
    </row>
    <row r="22" spans="1:40" x14ac:dyDescent="0.25">
      <c r="A22" s="67" t="str">
        <f>A4</f>
        <v>University of team 20</v>
      </c>
      <c r="B22">
        <f>B15+B16+C12+C9</f>
        <v>38</v>
      </c>
      <c r="C22">
        <f>B15+B16+C9+C12+C15+C16+B12+B9</f>
        <v>97</v>
      </c>
      <c r="E22" s="68"/>
      <c r="F22" s="67" t="str">
        <f>F4</f>
        <v>University of team 6</v>
      </c>
      <c r="G22">
        <f>G15+G16+H12+H9</f>
        <v>63</v>
      </c>
      <c r="H22">
        <f>G15+G16+H9+H12+H15+H16+G12+G9</f>
        <v>110</v>
      </c>
      <c r="J22" s="68"/>
      <c r="K22" s="67" t="str">
        <f>K4</f>
        <v>University of team 3</v>
      </c>
      <c r="L22">
        <f>L15+L16+M12+M9</f>
        <v>31</v>
      </c>
      <c r="M22">
        <f>L15+L16+M9+M12+M15+M16+L12+L9</f>
        <v>69</v>
      </c>
      <c r="O22" s="68"/>
      <c r="P22" s="67" t="str">
        <f>P4</f>
        <v/>
      </c>
      <c r="Q22">
        <f>Q15+Q16+R12+R9</f>
        <v>0</v>
      </c>
      <c r="R22">
        <f>Q15+Q16+R9+R12+R15+R16+Q12+Q9</f>
        <v>0</v>
      </c>
      <c r="T22" s="68"/>
      <c r="V22" s="82" t="str">
        <v>University of team 6</v>
      </c>
      <c r="W22" s="83">
        <v>0.57272727272727275</v>
      </c>
      <c r="X22" s="84" t="str">
        <v>University of team 13</v>
      </c>
      <c r="Y22" s="85">
        <v>0.53921568627450978</v>
      </c>
      <c r="Z22" s="82" t="str">
        <v>University of team 24</v>
      </c>
      <c r="AA22" s="83">
        <v>0.44155844155844154</v>
      </c>
      <c r="AB22" s="84" t="str">
        <v>University of team 7</v>
      </c>
      <c r="AC22" s="85">
        <v>0.36633663366336633</v>
      </c>
      <c r="AD22" s="82">
        <v>0</v>
      </c>
      <c r="AE22" s="86">
        <v>0</v>
      </c>
      <c r="AF22" s="74" t="str">
        <v>University of team 13</v>
      </c>
      <c r="AG22" s="75">
        <v>4.5392156862745097</v>
      </c>
      <c r="AH22" s="76" t="str">
        <v>University of team 21</v>
      </c>
      <c r="AI22" s="77">
        <v>3.4842105263157896</v>
      </c>
      <c r="AJ22" s="78" t="str">
        <v>University of team 21</v>
      </c>
      <c r="AK22" s="79"/>
      <c r="AL22" s="80"/>
      <c r="AM22" s="80"/>
      <c r="AN22" s="81"/>
    </row>
    <row r="23" spans="1:40" x14ac:dyDescent="0.25">
      <c r="A23" s="67" t="str">
        <f>A5</f>
        <v>University of team 34</v>
      </c>
      <c r="B23">
        <f>B17+C10+C13+C15</f>
        <v>29</v>
      </c>
      <c r="C23">
        <f>B17+C10+C13+C15+B15+C17+B13+B10</f>
        <v>77</v>
      </c>
      <c r="E23" s="68"/>
      <c r="F23" s="67" t="str">
        <f>F5</f>
        <v>University of team 10</v>
      </c>
      <c r="G23">
        <f>G17+H10+H13+H15</f>
        <v>71</v>
      </c>
      <c r="H23">
        <f>G17+H10+H13+H15+G15+H17+G13+G10</f>
        <v>114</v>
      </c>
      <c r="J23" s="68"/>
      <c r="K23" s="67" t="str">
        <f>K5</f>
        <v>University of team 36</v>
      </c>
      <c r="L23">
        <f>L17+M10+M13+M15</f>
        <v>35</v>
      </c>
      <c r="M23">
        <f>L17+M10+M13+M15+L15+M17+L13+L10</f>
        <v>75</v>
      </c>
      <c r="O23" s="68"/>
      <c r="P23" s="67" t="str">
        <f>P5</f>
        <v/>
      </c>
      <c r="Q23">
        <f>Q17+R10+R13+R15</f>
        <v>0</v>
      </c>
      <c r="R23">
        <f>Q17+R10+R13+R15+Q15+R17+Q13+Q10</f>
        <v>0</v>
      </c>
      <c r="T23" s="68"/>
      <c r="V23" s="82" t="str">
        <v>University of team 2</v>
      </c>
      <c r="W23" s="83">
        <v>0.55660377358490565</v>
      </c>
      <c r="X23" s="84" t="str">
        <v>University of team 31</v>
      </c>
      <c r="Y23" s="85">
        <v>0.53333333333333333</v>
      </c>
      <c r="Z23" s="82" t="str">
        <v>University of team 29</v>
      </c>
      <c r="AA23" s="83">
        <v>0.43902439024390244</v>
      </c>
      <c r="AB23" s="84" t="str">
        <v>University of team 15</v>
      </c>
      <c r="AC23" s="85">
        <v>0.35632183908045978</v>
      </c>
      <c r="AD23" s="82">
        <v>0</v>
      </c>
      <c r="AE23" s="86">
        <v>0</v>
      </c>
      <c r="AF23" s="74" t="str">
        <v>University of team 31</v>
      </c>
      <c r="AG23" s="75">
        <v>4.5333333333333332</v>
      </c>
      <c r="AH23" s="76" t="str">
        <v>University of team 23</v>
      </c>
      <c r="AI23" s="77">
        <v>3.4421052631578948</v>
      </c>
      <c r="AJ23" s="78" t="str">
        <v>University of team 23</v>
      </c>
      <c r="AK23" s="79"/>
      <c r="AL23" s="80"/>
      <c r="AM23" s="80"/>
      <c r="AN23" s="81"/>
    </row>
    <row r="24" spans="1:40" x14ac:dyDescent="0.25">
      <c r="A24" s="67" t="str">
        <f>A6</f>
        <v/>
      </c>
      <c r="B24">
        <f>C17+C16+C14+C11</f>
        <v>0</v>
      </c>
      <c r="C24">
        <f>C17+C16+C14+C11+B11+B14+B16+B17</f>
        <v>0</v>
      </c>
      <c r="E24" s="68"/>
      <c r="F24" s="67" t="str">
        <f>F6</f>
        <v/>
      </c>
      <c r="G24">
        <f>H17+H16+H14+H11</f>
        <v>0</v>
      </c>
      <c r="H24">
        <f>H17+H16+H14+H11+G11+G14+G16+G17</f>
        <v>0</v>
      </c>
      <c r="J24" s="68"/>
      <c r="K24" s="67" t="str">
        <f>K6</f>
        <v/>
      </c>
      <c r="L24">
        <f>M17+M16+M14+M11</f>
        <v>0</v>
      </c>
      <c r="M24">
        <f>M17+M16+M14+M11+L11+L14+L16+L17</f>
        <v>0</v>
      </c>
      <c r="O24" s="68"/>
      <c r="P24" s="67" t="str">
        <f>P6</f>
        <v/>
      </c>
      <c r="Q24">
        <f>R17+R16+R14+R11</f>
        <v>0</v>
      </c>
      <c r="R24">
        <f>R17+R16+R14+R11+Q11+Q14+Q16+Q17</f>
        <v>0</v>
      </c>
      <c r="T24" s="68"/>
      <c r="V24" s="82" t="str">
        <v>University of team 8</v>
      </c>
      <c r="W24" s="83">
        <v>0.52325581395348841</v>
      </c>
      <c r="X24" s="84" t="str">
        <v>University of team 14</v>
      </c>
      <c r="Y24" s="85">
        <v>0.51063829787234039</v>
      </c>
      <c r="Z24" s="82" t="str">
        <v>University of team 25</v>
      </c>
      <c r="AA24" s="83">
        <v>0.41052631578947368</v>
      </c>
      <c r="AB24" s="84" t="str">
        <v>University of team 32</v>
      </c>
      <c r="AC24" s="85">
        <v>0.33962264150943394</v>
      </c>
      <c r="AD24" s="82">
        <v>0</v>
      </c>
      <c r="AE24" s="86">
        <v>0</v>
      </c>
      <c r="AF24" s="74" t="str">
        <v>University of team 14</v>
      </c>
      <c r="AG24" s="75">
        <v>4.5106382978723403</v>
      </c>
      <c r="AH24" s="76" t="str">
        <v>University of team 24</v>
      </c>
      <c r="AI24" s="77">
        <v>3.4415584415584415</v>
      </c>
      <c r="AJ24" s="78" t="str">
        <v>University of team 24</v>
      </c>
      <c r="AK24" s="79"/>
      <c r="AL24" s="80"/>
      <c r="AM24" s="80"/>
      <c r="AN24" s="81"/>
    </row>
    <row r="25" spans="1:40" x14ac:dyDescent="0.25">
      <c r="A25" s="67"/>
      <c r="E25" s="68"/>
      <c r="F25" s="67"/>
      <c r="J25" s="68"/>
      <c r="K25" s="67"/>
      <c r="O25" s="68"/>
      <c r="P25" s="67"/>
      <c r="T25" s="68"/>
      <c r="V25" s="82" t="str">
        <v>University of team 27</v>
      </c>
      <c r="W25" s="83">
        <v>0.49382716049382713</v>
      </c>
      <c r="X25" s="84" t="str">
        <v>University of team 33</v>
      </c>
      <c r="Y25" s="85">
        <v>0.50617283950617287</v>
      </c>
      <c r="Z25" s="82" t="str">
        <v>University of team 5</v>
      </c>
      <c r="AA25" s="83">
        <v>0.39325842696629215</v>
      </c>
      <c r="AB25" s="84" t="str">
        <v>University of team 11</v>
      </c>
      <c r="AC25" s="85">
        <v>0.32</v>
      </c>
      <c r="AD25" s="82">
        <v>0</v>
      </c>
      <c r="AE25" s="86">
        <v>0</v>
      </c>
      <c r="AF25" s="74" t="str">
        <v>University of team 33</v>
      </c>
      <c r="AG25" s="75">
        <v>4.5061728395061724</v>
      </c>
      <c r="AH25" s="76" t="str">
        <v>University of team 29</v>
      </c>
      <c r="AI25" s="77">
        <v>3.4390243902439024</v>
      </c>
      <c r="AJ25" s="78" t="str">
        <v>University of team 29</v>
      </c>
      <c r="AK25" s="79"/>
      <c r="AL25" s="80"/>
      <c r="AM25" s="80"/>
      <c r="AN25" s="81"/>
    </row>
    <row r="26" spans="1:40" x14ac:dyDescent="0.25">
      <c r="A26" s="67"/>
      <c r="B26" t="s">
        <v>17</v>
      </c>
      <c r="C26" t="s">
        <v>18</v>
      </c>
      <c r="E26" s="68" t="s">
        <v>18</v>
      </c>
      <c r="F26" s="67"/>
      <c r="G26" t="s">
        <v>17</v>
      </c>
      <c r="H26" t="s">
        <v>18</v>
      </c>
      <c r="J26" s="68" t="s">
        <v>18</v>
      </c>
      <c r="K26" s="67"/>
      <c r="L26" t="s">
        <v>17</v>
      </c>
      <c r="M26" t="s">
        <v>18</v>
      </c>
      <c r="O26" s="68" t="s">
        <v>18</v>
      </c>
      <c r="P26" s="67"/>
      <c r="Q26" t="s">
        <v>17</v>
      </c>
      <c r="R26" t="s">
        <v>18</v>
      </c>
      <c r="T26" s="68" t="s">
        <v>18</v>
      </c>
      <c r="V26" s="82" t="str">
        <v>University of team 36</v>
      </c>
      <c r="W26" s="83">
        <v>0.46666666666666667</v>
      </c>
      <c r="X26" s="84" t="str">
        <v>University of team 12</v>
      </c>
      <c r="Y26" s="85">
        <v>0.48623853211009177</v>
      </c>
      <c r="Z26" s="82" t="str">
        <v>University of team 20</v>
      </c>
      <c r="AA26" s="83">
        <v>0.39175257731958762</v>
      </c>
      <c r="AB26" s="84" t="str">
        <v>University of team 17</v>
      </c>
      <c r="AC26" s="85">
        <v>0.14473684210526316</v>
      </c>
      <c r="AD26" s="82">
        <v>0</v>
      </c>
      <c r="AE26" s="86">
        <v>0</v>
      </c>
      <c r="AF26" s="74" t="str">
        <v>University of team 12</v>
      </c>
      <c r="AG26" s="75">
        <v>4.4862385321100922</v>
      </c>
      <c r="AH26" s="76" t="str">
        <v>University of team 25</v>
      </c>
      <c r="AI26" s="77">
        <v>3.4105263157894736</v>
      </c>
      <c r="AJ26" s="78" t="str">
        <v>University of team 25</v>
      </c>
      <c r="AK26" s="79"/>
      <c r="AL26" s="80"/>
      <c r="AM26" s="80"/>
      <c r="AN26" s="81"/>
    </row>
    <row r="27" spans="1:40" x14ac:dyDescent="0.25">
      <c r="A27" s="87" t="str">
        <f>A2</f>
        <v>University of team 16</v>
      </c>
      <c r="B27" s="88" cm="1">
        <f t="array" ref="B27">IF(LEN(A27)=0,-1,SUMPRODUCT(((A8:A17=$A27)*(B8:B17&gt;C8:C17))+((D8:D17=$A27)*(C8:C17&gt;B8:B17))))</f>
        <v>3</v>
      </c>
      <c r="C27" s="89">
        <f>IFERROR(B20/C20,"")</f>
        <v>0.7142857142857143</v>
      </c>
      <c r="D27" s="90" t="s">
        <v>152</v>
      </c>
      <c r="E27" s="75">
        <v>0.7142857142857143</v>
      </c>
      <c r="F27" s="87" t="str">
        <f>F2</f>
        <v>University of team 25</v>
      </c>
      <c r="G27" s="88" cm="1">
        <f t="array" ref="G27">IF(LEN(F27)=0,-1,SUMPRODUCT(((F8:F17=$F27)*(G8:G17&gt;H8:H17))+((I8:I17=$F27)*(H8:H17&gt;G8:G17))))</f>
        <v>1</v>
      </c>
      <c r="H27" s="89">
        <f>IFERROR(G20/H20,"")</f>
        <v>0.41052631578947368</v>
      </c>
      <c r="I27" s="90" t="s">
        <v>142</v>
      </c>
      <c r="J27" s="75">
        <v>0.57272727272727275</v>
      </c>
      <c r="K27" s="87" t="str">
        <f>K2</f>
        <v>University of team 33</v>
      </c>
      <c r="L27" s="88" cm="1">
        <f t="array" ref="L27">IF(LEN(K27)=0,-1,SUMPRODUCT(((K8:K17=$K27)*(L8:L17&gt;M8:M17))+((N8:N17=$K27)*(M8:M17&gt;L8:L17))))</f>
        <v>2</v>
      </c>
      <c r="M27" s="89">
        <f>IFERROR(L20/M20,"")</f>
        <v>0.50617283950617287</v>
      </c>
      <c r="N27" s="90" t="s">
        <v>172</v>
      </c>
      <c r="O27" s="75">
        <v>0.46666666666666667</v>
      </c>
      <c r="P27" s="87" t="str">
        <f>P2</f>
        <v/>
      </c>
      <c r="Q27" s="88" cm="1">
        <f t="array" ref="Q27">IF(LEN(P27)=0,-1,SUMPRODUCT(((P8:P17=$P27)*(Q8:Q17&gt;R8:R17))+((S8:S17=$P27)*(R8:R17&gt;Q8:Q17))))</f>
        <v>-1</v>
      </c>
      <c r="R27" s="89" t="str">
        <f>IFERROR(Q20/R20,"")</f>
        <v/>
      </c>
      <c r="S27" s="90"/>
      <c r="T27" s="75"/>
      <c r="V27" s="82">
        <v>0</v>
      </c>
      <c r="W27" s="83">
        <v>0</v>
      </c>
      <c r="X27" s="84">
        <v>0</v>
      </c>
      <c r="Y27" s="85">
        <v>0</v>
      </c>
      <c r="Z27" s="82">
        <v>0</v>
      </c>
      <c r="AA27" s="83">
        <v>0</v>
      </c>
      <c r="AB27" s="84">
        <v>0</v>
      </c>
      <c r="AC27" s="85">
        <v>0</v>
      </c>
      <c r="AD27" s="82">
        <v>0</v>
      </c>
      <c r="AE27" s="86">
        <v>0</v>
      </c>
      <c r="AF27" s="74" t="str">
        <v/>
      </c>
      <c r="AG27" s="75">
        <v>0</v>
      </c>
      <c r="AH27" s="76" t="str">
        <v>University of team 5</v>
      </c>
      <c r="AI27" s="77">
        <v>3.393258426966292</v>
      </c>
      <c r="AJ27" s="78" t="str">
        <v>University of team 5</v>
      </c>
      <c r="AK27" s="79"/>
      <c r="AL27" s="80"/>
      <c r="AM27" s="80"/>
      <c r="AN27" s="81"/>
    </row>
    <row r="28" spans="1:40" x14ac:dyDescent="0.25">
      <c r="A28" s="67" t="str">
        <f>A3</f>
        <v>University of team 14</v>
      </c>
      <c r="B28" cm="1">
        <f t="array" ref="B28">IF(LEN(A28)=0,-1,SUMPRODUCT(((A8:A17=$A28)*(B8:B17&gt;C8:C17))+((D8:D17=$A28)*(C8:C17&gt;B8:B17))))</f>
        <v>1</v>
      </c>
      <c r="C28" s="91">
        <f>IFERROR(B21/C21,"")</f>
        <v>0.51063829787234039</v>
      </c>
      <c r="D28" s="90" t="s">
        <v>150</v>
      </c>
      <c r="E28" s="75">
        <v>0.51063829787234039</v>
      </c>
      <c r="F28" s="67" t="str">
        <f>F3</f>
        <v>University of team 7</v>
      </c>
      <c r="G28" cm="1">
        <f t="array" ref="G28">IF(LEN(F28)=0,"-1",SUMPRODUCT(((F8:F17=$F28)*(G8:G17&gt;H8:H17))+((I8:I17=$F28)*(H8:H17&gt;G8:G17))))</f>
        <v>1</v>
      </c>
      <c r="H28" s="91">
        <f>IFERROR(G21/H21,"")</f>
        <v>0.36633663366336633</v>
      </c>
      <c r="I28" s="90" t="s">
        <v>146</v>
      </c>
      <c r="J28" s="75">
        <v>0.6228070175438597</v>
      </c>
      <c r="K28" s="67" t="str">
        <f>K3</f>
        <v>University of team 1</v>
      </c>
      <c r="L28" cm="1">
        <f t="array" ref="L28">IF(LEN(K28)=0,-1,SUMPRODUCT(((K8:K17=$K28)*(L8:L17&gt;M8:M17))+((N8:N17=$K28)*(M8:M17&gt;L8:L17))))</f>
        <v>1</v>
      </c>
      <c r="M28" s="91">
        <f>IFERROR(L21/M21,"")</f>
        <v>0.61224489795918369</v>
      </c>
      <c r="N28" s="90" t="s">
        <v>169</v>
      </c>
      <c r="O28" s="75">
        <v>0.50617283950617287</v>
      </c>
      <c r="P28" s="67" t="str">
        <f>P3</f>
        <v/>
      </c>
      <c r="Q28" cm="1">
        <f t="array" ref="Q28">IF(LEN(P28)=0,-1,SUMPRODUCT(((P8:P17=$P28)*(Q8:Q17&gt;R8:R17))+((S8:S17=$P28)*(R8:R17&gt;Q8:Q17))))</f>
        <v>-1</v>
      </c>
      <c r="R28" s="91" t="str">
        <f>IFERROR(Q21/R21,"")</f>
        <v/>
      </c>
      <c r="S28" s="90"/>
      <c r="T28" s="75"/>
      <c r="V28" s="82">
        <v>0</v>
      </c>
      <c r="W28" s="83">
        <v>0</v>
      </c>
      <c r="X28" s="84">
        <v>0</v>
      </c>
      <c r="Y28" s="85">
        <v>0</v>
      </c>
      <c r="Z28" s="82">
        <v>0</v>
      </c>
      <c r="AA28" s="83">
        <v>0</v>
      </c>
      <c r="AB28" s="84">
        <v>0</v>
      </c>
      <c r="AC28" s="85">
        <v>0</v>
      </c>
      <c r="AD28" s="82">
        <v>0</v>
      </c>
      <c r="AE28" s="86">
        <v>0</v>
      </c>
      <c r="AF28" s="74" t="str">
        <v/>
      </c>
      <c r="AG28" s="75">
        <v>0</v>
      </c>
      <c r="AH28" s="76" t="str">
        <v>University of team 20</v>
      </c>
      <c r="AI28" s="77">
        <v>3.3917525773195876</v>
      </c>
      <c r="AJ28" s="78" t="str">
        <v>University of team 20</v>
      </c>
      <c r="AK28" s="79"/>
      <c r="AL28" s="80"/>
      <c r="AM28" s="80"/>
      <c r="AN28" s="81"/>
    </row>
    <row r="29" spans="1:40" x14ac:dyDescent="0.25">
      <c r="A29" s="67" t="str">
        <f>A4</f>
        <v>University of team 20</v>
      </c>
      <c r="B29" cm="1">
        <f t="array" ref="B29">IF(LEN(A29)=0,-1,SUMPRODUCT(((A8:A17=$A29)*(B8:B17&gt;C8:C17))+((D8:D17=$A29)*(C8:C17&gt;B8:B17))))</f>
        <v>1</v>
      </c>
      <c r="C29" s="91">
        <f>IFERROR(B22/C22,"")</f>
        <v>0.39175257731958762</v>
      </c>
      <c r="D29" s="90" t="s">
        <v>156</v>
      </c>
      <c r="E29" s="75">
        <v>0.39175257731958762</v>
      </c>
      <c r="F29" s="67" t="str">
        <f>F4</f>
        <v>University of team 6</v>
      </c>
      <c r="G29" cm="1">
        <f t="array" ref="G29">IF(LEN(F29)=0,-1,SUMPRODUCT(((F8:F17=$F29)*(G8:G17&gt;H8:H17))+((I8:I17=$F29)*(H8:H17&gt;G8:G17))))</f>
        <v>2</v>
      </c>
      <c r="H29" s="91">
        <f>IFERROR(G22/H22,"")</f>
        <v>0.57272727272727275</v>
      </c>
      <c r="I29" s="90" t="s">
        <v>161</v>
      </c>
      <c r="J29" s="75">
        <v>0.41052631578947368</v>
      </c>
      <c r="K29" s="67" t="str">
        <f>K4</f>
        <v>University of team 3</v>
      </c>
      <c r="L29" cm="1">
        <f t="array" ref="L29">IF(LEN(K29)=0,-1,SUMPRODUCT(((K8:K17=$K29)*(L8:L17&gt;M8:M17))+((N8:N17=$K29)*(M8:M17&gt;L8:L17))))</f>
        <v>1</v>
      </c>
      <c r="M29" s="91">
        <f>IFERROR(L22/M22,"")</f>
        <v>0.44927536231884058</v>
      </c>
      <c r="N29" s="90" t="s">
        <v>137</v>
      </c>
      <c r="O29" s="75">
        <v>0.61224489795918369</v>
      </c>
      <c r="P29" s="67" t="str">
        <f>P4</f>
        <v/>
      </c>
      <c r="Q29" cm="1">
        <f t="array" ref="Q29">IF(LEN(P29)=0,-1,SUMPRODUCT(((P8:P17=$P29)*(Q8:Q17&gt;R8:R17))+((S8:S17=$P29)*(R8:R17&gt;Q8:Q17))))</f>
        <v>-1</v>
      </c>
      <c r="R29" s="91" t="str">
        <f>IFERROR(Q22/R22,"")</f>
        <v/>
      </c>
      <c r="S29" s="90"/>
      <c r="T29" s="75"/>
      <c r="V29" s="82">
        <v>0</v>
      </c>
      <c r="W29" s="83">
        <v>0</v>
      </c>
      <c r="X29" s="84">
        <v>0</v>
      </c>
      <c r="Y29" s="85">
        <v>0</v>
      </c>
      <c r="Z29" s="82">
        <v>0</v>
      </c>
      <c r="AA29" s="83">
        <v>0</v>
      </c>
      <c r="AB29" s="84">
        <v>0</v>
      </c>
      <c r="AC29" s="85">
        <v>0</v>
      </c>
      <c r="AD29" s="82">
        <v>0</v>
      </c>
      <c r="AE29" s="86">
        <v>0</v>
      </c>
      <c r="AF29" s="74" t="str">
        <v/>
      </c>
      <c r="AG29" s="75">
        <v>0</v>
      </c>
      <c r="AH29" s="76" t="str">
        <v>University of team 19</v>
      </c>
      <c r="AI29" s="77">
        <v>2.5106382978723403</v>
      </c>
      <c r="AJ29" s="78" t="str">
        <v>University of team 19</v>
      </c>
      <c r="AK29" s="79"/>
      <c r="AL29" s="80"/>
      <c r="AM29" s="80"/>
      <c r="AN29" s="81"/>
    </row>
    <row r="30" spans="1:40" x14ac:dyDescent="0.25">
      <c r="A30" s="67" t="str">
        <f>A5</f>
        <v>University of team 34</v>
      </c>
      <c r="B30" cm="1">
        <f t="array" ref="B30">IF(LEN(A30)=0,-1,SUMPRODUCT(((A8:A17=$A30)*(B8:B17&gt;C8:C17))+((D8:D17=$A30)*(C8:C17&gt;B8:B17))))</f>
        <v>1</v>
      </c>
      <c r="C30" s="91">
        <f>IFERROR(B23/C23,"")</f>
        <v>0.37662337662337664</v>
      </c>
      <c r="D30" s="90" t="s">
        <v>170</v>
      </c>
      <c r="E30" s="75">
        <v>0.37662337662337664</v>
      </c>
      <c r="F30" s="67" t="str">
        <f>F5</f>
        <v>University of team 10</v>
      </c>
      <c r="G30" cm="1">
        <f t="array" ref="G30">IF(LEN(F30)=0,-1,SUMPRODUCT(((F8:F17=$F30)*(G8:G17&gt;H8:H17))+((I8:I17=$F30)*(H8:H17&gt;G8:G17))))</f>
        <v>2</v>
      </c>
      <c r="H30" s="91">
        <f>IFERROR(G23/H23,"")</f>
        <v>0.6228070175438597</v>
      </c>
      <c r="I30" s="90" t="s">
        <v>143</v>
      </c>
      <c r="J30" s="75">
        <v>0.36633663366336633</v>
      </c>
      <c r="K30" s="67" t="str">
        <f>K5</f>
        <v>University of team 36</v>
      </c>
      <c r="L30" cm="1">
        <f t="array" ref="L30">IF(LEN(K30)=0,-1,SUMPRODUCT(((K8:K17=$K30)*(L8:L17&gt;M8:M17))+((N8:N17=$K30)*(M8:M17&gt;L8:L17))))</f>
        <v>2</v>
      </c>
      <c r="M30" s="91">
        <f>IFERROR(L23/M23,"")</f>
        <v>0.46666666666666667</v>
      </c>
      <c r="N30" s="90" t="s">
        <v>139</v>
      </c>
      <c r="O30" s="75">
        <v>0.44927536231884058</v>
      </c>
      <c r="P30" s="67" t="str">
        <f>P5</f>
        <v/>
      </c>
      <c r="Q30" cm="1">
        <f t="array" ref="Q30">IF(LEN(P30)=0,-1,SUMPRODUCT(((P8:P17=$P30)*(Q8:Q17&gt;R8:R17))+((S8:S17=$P30)*(R8:R17&gt;Q8:Q17))))</f>
        <v>-1</v>
      </c>
      <c r="R30" s="91" t="str">
        <f>IFERROR(Q23/R23,"")</f>
        <v/>
      </c>
      <c r="S30" s="90"/>
      <c r="T30" s="75"/>
      <c r="V30" s="82">
        <v>0</v>
      </c>
      <c r="W30" s="83">
        <v>0</v>
      </c>
      <c r="X30" s="84">
        <v>0</v>
      </c>
      <c r="Y30" s="85">
        <v>0</v>
      </c>
      <c r="Z30" s="82">
        <v>0</v>
      </c>
      <c r="AA30" s="83">
        <v>0</v>
      </c>
      <c r="AB30" s="84">
        <v>0</v>
      </c>
      <c r="AC30" s="85">
        <v>0</v>
      </c>
      <c r="AD30" s="82">
        <v>0</v>
      </c>
      <c r="AE30" s="86">
        <v>0</v>
      </c>
      <c r="AF30" s="74" t="str">
        <v/>
      </c>
      <c r="AG30" s="75">
        <v>0</v>
      </c>
      <c r="AH30" s="76" t="str">
        <v>University of team 3</v>
      </c>
      <c r="AI30" s="77">
        <v>2.4492753623188408</v>
      </c>
      <c r="AJ30" s="78" t="str">
        <v>University of team 3</v>
      </c>
      <c r="AK30" s="79"/>
      <c r="AL30" s="80"/>
      <c r="AM30" s="80"/>
      <c r="AN30" s="81"/>
    </row>
    <row r="31" spans="1:40" x14ac:dyDescent="0.25">
      <c r="A31" s="92" t="str">
        <f>A6</f>
        <v/>
      </c>
      <c r="B31" s="93" cm="1">
        <f t="array" ref="B31">IF(LEN(A31)=0,-1,SUMPRODUCT(((A8:A17=$A31)*(B8:B17&gt;C8:C17))+((D8:D17=$A31)*(C8:C17&gt;B8:B17))))</f>
        <v>-1</v>
      </c>
      <c r="C31" s="94" t="str">
        <f>IFERROR(B24/C24,"")</f>
        <v/>
      </c>
      <c r="D31" s="90"/>
      <c r="E31" s="75"/>
      <c r="F31" s="92" t="str">
        <f>F6</f>
        <v/>
      </c>
      <c r="G31" s="93" cm="1">
        <f t="array" ref="G31">IF(LEN(F31)=0,-1,SUMPRODUCT(((F8:F17=$F31)*(G8:G17&gt;H8:H17))+((I8:I17=$F31)*(H8:H17&gt;G8:G17))))</f>
        <v>-1</v>
      </c>
      <c r="H31" s="94" t="str">
        <f>IFERROR(G24/H24,"")</f>
        <v/>
      </c>
      <c r="I31" s="90"/>
      <c r="J31" s="75"/>
      <c r="K31" s="92" t="str">
        <f>K6</f>
        <v/>
      </c>
      <c r="L31" s="93" cm="1">
        <f t="array" ref="L31">IF(LEN(K31)=0,-1,SUMPRODUCT(((K8:K17=$K31)*(L8:L17&gt;M8:M17))+((N8:N17=$K31)*(M8:M17&gt;L8:L17))))</f>
        <v>-1</v>
      </c>
      <c r="M31" s="94" t="str">
        <f>IFERROR(L24/M24,"")</f>
        <v/>
      </c>
      <c r="N31" s="90"/>
      <c r="O31" s="75"/>
      <c r="P31" s="92" t="str">
        <f>P6</f>
        <v/>
      </c>
      <c r="Q31" s="93" cm="1">
        <f t="array" ref="Q31">IF(LEN(P31)=0,-1,SUMPRODUCT(((P8:P17=$P31)*(Q8:Q17&gt;R8:R17))+((S8:S17=$P31)*(R8:R17&gt;Q8:Q17))))</f>
        <v>-1</v>
      </c>
      <c r="R31" s="94" t="str">
        <f>IFERROR(Q24/R24,"")</f>
        <v/>
      </c>
      <c r="S31" s="90"/>
      <c r="T31" s="75"/>
      <c r="V31" s="82">
        <v>0</v>
      </c>
      <c r="W31" s="83">
        <v>0</v>
      </c>
      <c r="X31" s="84">
        <v>0</v>
      </c>
      <c r="Y31" s="85">
        <v>0</v>
      </c>
      <c r="Z31" s="82">
        <v>0</v>
      </c>
      <c r="AA31" s="83">
        <v>0</v>
      </c>
      <c r="AB31" s="84">
        <v>0</v>
      </c>
      <c r="AC31" s="85">
        <v>0</v>
      </c>
      <c r="AD31" s="82">
        <v>0</v>
      </c>
      <c r="AE31" s="86">
        <v>0</v>
      </c>
      <c r="AF31" s="74" t="str">
        <v/>
      </c>
      <c r="AG31" s="75">
        <v>0</v>
      </c>
      <c r="AH31" s="76" t="str">
        <v>University of team 30</v>
      </c>
      <c r="AI31" s="77">
        <v>2.3787878787878789</v>
      </c>
      <c r="AJ31" s="78" t="str">
        <v>University of team 30</v>
      </c>
      <c r="AK31" s="79"/>
      <c r="AL31" s="80"/>
      <c r="AM31" s="80"/>
      <c r="AN31" s="81"/>
    </row>
    <row r="32" spans="1:40" x14ac:dyDescent="0.25">
      <c r="A32" s="67" t="str" cm="1">
        <f t="array" ref="A32:C36">_xlfn.SORTBY(A27:C31,B27:B31,-1,C27:C31,-1)</f>
        <v>University of team 16</v>
      </c>
      <c r="B32">
        <v>3</v>
      </c>
      <c r="C32">
        <v>0.7142857142857143</v>
      </c>
      <c r="D32" s="89">
        <f>COUNTIF(B32:B36,B32)-1</f>
        <v>0</v>
      </c>
      <c r="E32" s="68"/>
      <c r="F32" s="67" t="str" cm="1">
        <f t="array" ref="F32:H36">_xlfn.SORTBY(F27:H31,G27:G31,-1,H27:H31,-1)</f>
        <v>University of team 10</v>
      </c>
      <c r="G32">
        <v>2</v>
      </c>
      <c r="H32">
        <v>0.6228070175438597</v>
      </c>
      <c r="I32" s="89">
        <f>COUNTIF(G32:G36,G32)-1</f>
        <v>1</v>
      </c>
      <c r="J32" s="68"/>
      <c r="K32" s="67" t="str" cm="1">
        <f t="array" ref="K32:M36">_xlfn.SORTBY(K27:M31,L27:L31,-1,M27:M31,-1)</f>
        <v>University of team 33</v>
      </c>
      <c r="L32">
        <v>2</v>
      </c>
      <c r="M32">
        <v>0.50617283950617287</v>
      </c>
      <c r="N32" s="89">
        <f>COUNTIF(L32:L36,L32)-1</f>
        <v>1</v>
      </c>
      <c r="O32" s="68"/>
      <c r="P32" s="67" t="str" cm="1">
        <f t="array" ref="P32:R36">_xlfn.SORTBY(P27:R31,Q27:Q31,-1,R27:R31,-1)</f>
        <v/>
      </c>
      <c r="Q32">
        <v>-1</v>
      </c>
      <c r="R32" t="str">
        <v/>
      </c>
      <c r="S32" s="89">
        <f>COUNTIF(Q32:Q36,Q32)-1</f>
        <v>4</v>
      </c>
      <c r="T32" s="68"/>
      <c r="V32" s="82">
        <v>0</v>
      </c>
      <c r="W32" s="83">
        <v>0</v>
      </c>
      <c r="X32" s="84">
        <v>0</v>
      </c>
      <c r="Y32" s="85">
        <v>0</v>
      </c>
      <c r="Z32" s="82">
        <v>0</v>
      </c>
      <c r="AA32" s="83">
        <v>0</v>
      </c>
      <c r="AB32" s="84">
        <v>0</v>
      </c>
      <c r="AC32" s="85">
        <v>0</v>
      </c>
      <c r="AD32" s="82">
        <v>0</v>
      </c>
      <c r="AE32" s="86">
        <v>0</v>
      </c>
      <c r="AF32" s="74" t="str">
        <v/>
      </c>
      <c r="AG32" s="75">
        <v>0</v>
      </c>
      <c r="AH32" s="76" t="str">
        <v>University of team 34</v>
      </c>
      <c r="AI32" s="77">
        <v>2.3766233766233764</v>
      </c>
      <c r="AJ32" s="78" t="str">
        <v>University of team 34</v>
      </c>
      <c r="AK32" s="79"/>
      <c r="AL32" s="80"/>
      <c r="AM32" s="80"/>
      <c r="AN32" s="81"/>
    </row>
    <row r="33" spans="1:40" x14ac:dyDescent="0.25">
      <c r="A33" s="67" t="str">
        <v>University of team 14</v>
      </c>
      <c r="B33">
        <v>1</v>
      </c>
      <c r="C33">
        <v>0.51063829787234039</v>
      </c>
      <c r="D33" s="91">
        <f>COUNTIF(B32:B36,B33)-1</f>
        <v>2</v>
      </c>
      <c r="E33" s="68"/>
      <c r="F33" s="67" t="str">
        <v>University of team 6</v>
      </c>
      <c r="G33">
        <v>2</v>
      </c>
      <c r="H33">
        <v>0.57272727272727275</v>
      </c>
      <c r="I33" s="91">
        <f>COUNTIF(G32:G36,G33)-1</f>
        <v>1</v>
      </c>
      <c r="J33" s="68"/>
      <c r="K33" s="67" t="str">
        <v>University of team 36</v>
      </c>
      <c r="L33">
        <v>2</v>
      </c>
      <c r="M33">
        <v>0.46666666666666667</v>
      </c>
      <c r="N33" s="91">
        <f>COUNTIF(L32:L36,L33)-1</f>
        <v>1</v>
      </c>
      <c r="O33" s="68"/>
      <c r="P33" s="67" t="str">
        <v/>
      </c>
      <c r="Q33">
        <v>-1</v>
      </c>
      <c r="R33" t="str">
        <v/>
      </c>
      <c r="S33" s="91">
        <f>COUNTIF(Q32:Q36,Q33)-1</f>
        <v>4</v>
      </c>
      <c r="T33" s="68"/>
      <c r="V33" s="82">
        <v>0</v>
      </c>
      <c r="W33" s="83">
        <v>0</v>
      </c>
      <c r="X33" s="84">
        <v>0</v>
      </c>
      <c r="Y33" s="85">
        <v>0</v>
      </c>
      <c r="Z33" s="82">
        <v>0</v>
      </c>
      <c r="AA33" s="83">
        <v>0</v>
      </c>
      <c r="AB33" s="84">
        <v>0</v>
      </c>
      <c r="AC33" s="85">
        <v>0</v>
      </c>
      <c r="AD33" s="82">
        <v>0</v>
      </c>
      <c r="AE33" s="86">
        <v>0</v>
      </c>
      <c r="AF33" s="74" t="str">
        <v/>
      </c>
      <c r="AG33" s="75">
        <v>0</v>
      </c>
      <c r="AH33" s="76" t="str">
        <v>University of team 7</v>
      </c>
      <c r="AI33" s="77">
        <v>2.3663366336633662</v>
      </c>
      <c r="AJ33" s="78" t="str">
        <v>University of team 7</v>
      </c>
      <c r="AK33" s="79"/>
      <c r="AL33" s="80"/>
      <c r="AM33" s="80"/>
      <c r="AN33" s="81"/>
    </row>
    <row r="34" spans="1:40" x14ac:dyDescent="0.25">
      <c r="A34" s="67" t="str">
        <v>University of team 20</v>
      </c>
      <c r="B34">
        <v>1</v>
      </c>
      <c r="C34">
        <v>0.39175257731958762</v>
      </c>
      <c r="D34" s="91">
        <f>COUNTIF(B32:B36,B34)-1</f>
        <v>2</v>
      </c>
      <c r="E34" s="68"/>
      <c r="F34" s="67" t="str">
        <v>University of team 25</v>
      </c>
      <c r="G34">
        <v>1</v>
      </c>
      <c r="H34">
        <v>0.41052631578947368</v>
      </c>
      <c r="I34" s="91">
        <f>COUNTIF(G32:G36,G34)-1</f>
        <v>1</v>
      </c>
      <c r="J34" s="68"/>
      <c r="K34" s="67" t="str">
        <v>University of team 1</v>
      </c>
      <c r="L34">
        <v>1</v>
      </c>
      <c r="M34">
        <v>0.61224489795918369</v>
      </c>
      <c r="N34" s="91">
        <f>COUNTIF(L32:L36,L34)-1</f>
        <v>1</v>
      </c>
      <c r="O34" s="68"/>
      <c r="P34" s="67" t="str">
        <v/>
      </c>
      <c r="Q34">
        <v>-1</v>
      </c>
      <c r="R34" t="str">
        <v/>
      </c>
      <c r="S34" s="91">
        <f>COUNTIF(Q32:Q36,Q34)-1</f>
        <v>4</v>
      </c>
      <c r="T34" s="68"/>
      <c r="V34" s="69" t="str" cm="1">
        <f t="array" ref="V34:V49">IF(V18:V33=0,"",V18:V33)</f>
        <v>University of team 22</v>
      </c>
      <c r="W34" s="70" cm="1">
        <f t="array" ref="W34:W49">IF(W18:W33=0,0,W18:W33+5)</f>
        <v>5.765625</v>
      </c>
      <c r="X34" s="71" t="str" cm="1">
        <f t="array" ref="X34:X49">IF(X18:X33=0,"",X18:X33)</f>
        <v>University of team 26</v>
      </c>
      <c r="Y34" s="72" cm="1">
        <f t="array" ref="Y34:Y49">IF(Y18:Y33=0,0,Y18:Y33+4)</f>
        <v>4.704225352112676</v>
      </c>
      <c r="Z34" s="69" t="str" cm="1">
        <f t="array" ref="Z34:Z49">IF(Z18:Z33=0,"",Z18:Z33)</f>
        <v>University of team 1</v>
      </c>
      <c r="AA34" s="70" cm="1">
        <f t="array" ref="AA34:AA49">IF(AA18:AA33=0,0,AA18:AA33+3)</f>
        <v>3.6122448979591839</v>
      </c>
      <c r="AB34" s="71" t="str" cm="1">
        <f t="array" ref="AB34:AB49">IF(AB18:AB33=0,"",AB18:AB33)</f>
        <v>University of team 19</v>
      </c>
      <c r="AC34" s="72" cm="1">
        <f t="array" ref="AC34:AC49">IF(AC18:AC33=0,0,AC18:AC33+2)</f>
        <v>2.5106382978723403</v>
      </c>
      <c r="AD34" s="69" t="str" cm="1">
        <f t="array" ref="AD34:AD49">IF(AD18:AD33=0,"",AD18:AD33)</f>
        <v/>
      </c>
      <c r="AE34" s="73" cm="1">
        <f t="array" ref="AE34:AE49">IF(AE18:AE33=0,0,AE18:AE33+1)</f>
        <v>0</v>
      </c>
      <c r="AF34" s="74" t="str" cm="1">
        <f t="array" ref="AF34:AG49">Z34:AA49</f>
        <v>University of team 1</v>
      </c>
      <c r="AG34" s="75">
        <v>3.6122448979591839</v>
      </c>
      <c r="AH34" s="76" t="str">
        <v>University of team 15</v>
      </c>
      <c r="AI34" s="77">
        <v>2.3563218390804597</v>
      </c>
      <c r="AJ34" s="78" t="str">
        <v>University of team 15</v>
      </c>
      <c r="AK34" s="79"/>
      <c r="AL34" s="80"/>
      <c r="AM34" s="80"/>
      <c r="AN34" s="81"/>
    </row>
    <row r="35" spans="1:40" x14ac:dyDescent="0.25">
      <c r="A35" s="67" t="str">
        <v>University of team 34</v>
      </c>
      <c r="B35">
        <v>1</v>
      </c>
      <c r="C35">
        <v>0.37662337662337664</v>
      </c>
      <c r="D35" s="91">
        <f>COUNTIF(B32:B36,B35)-1</f>
        <v>2</v>
      </c>
      <c r="E35" s="68"/>
      <c r="F35" s="67" t="str">
        <v>University of team 7</v>
      </c>
      <c r="G35">
        <v>1</v>
      </c>
      <c r="H35">
        <v>0.36633663366336633</v>
      </c>
      <c r="I35" s="91">
        <f>COUNTIF(G32:G36,G35)-1</f>
        <v>1</v>
      </c>
      <c r="J35" s="68"/>
      <c r="K35" s="67" t="str">
        <v>University of team 3</v>
      </c>
      <c r="L35">
        <v>1</v>
      </c>
      <c r="M35">
        <v>0.44927536231884058</v>
      </c>
      <c r="N35" s="91">
        <f>COUNTIF(L32:L36,L35)-1</f>
        <v>1</v>
      </c>
      <c r="O35" s="68"/>
      <c r="P35" s="67" t="str">
        <v/>
      </c>
      <c r="Q35">
        <v>-1</v>
      </c>
      <c r="R35" t="str">
        <v/>
      </c>
      <c r="S35" s="91">
        <f>COUNTIF(Q32:Q36,Q35)-1</f>
        <v>4</v>
      </c>
      <c r="T35" s="68"/>
      <c r="V35" s="69" t="str">
        <v>University of team 4</v>
      </c>
      <c r="W35" s="70">
        <v>5.7349397590361448</v>
      </c>
      <c r="X35" s="71" t="str">
        <v>University of team 9</v>
      </c>
      <c r="Y35" s="72">
        <v>4.666666666666667</v>
      </c>
      <c r="Z35" s="69" t="str">
        <v>University of team 18</v>
      </c>
      <c r="AA35" s="70">
        <v>3.4920634920634921</v>
      </c>
      <c r="AB35" s="71" t="str">
        <v>University of team 3</v>
      </c>
      <c r="AC35" s="72">
        <v>2.4492753623188408</v>
      </c>
      <c r="AD35" s="69" t="str">
        <v/>
      </c>
      <c r="AE35" s="73">
        <v>0</v>
      </c>
      <c r="AF35" s="74" t="str">
        <v>University of team 18</v>
      </c>
      <c r="AG35" s="75">
        <v>3.4920634920634921</v>
      </c>
      <c r="AH35" s="76" t="str">
        <v>University of team 32</v>
      </c>
      <c r="AI35" s="77">
        <v>2.3396226415094339</v>
      </c>
      <c r="AJ35" s="78" t="str">
        <v>University of team 32</v>
      </c>
      <c r="AK35" s="79"/>
      <c r="AL35" s="80"/>
      <c r="AM35" s="80"/>
      <c r="AN35" s="81"/>
    </row>
    <row r="36" spans="1:40" ht="15.75" thickBot="1" x14ac:dyDescent="0.3">
      <c r="A36" s="95" t="str">
        <v/>
      </c>
      <c r="B36" s="96">
        <v>-1</v>
      </c>
      <c r="C36" s="96" t="str">
        <v/>
      </c>
      <c r="D36" s="97">
        <f>COUNTIF(B32:B36,B36)-1</f>
        <v>0</v>
      </c>
      <c r="E36" s="98"/>
      <c r="F36" s="95" t="str">
        <v/>
      </c>
      <c r="G36" s="96">
        <v>-1</v>
      </c>
      <c r="H36" s="96" t="str">
        <v/>
      </c>
      <c r="I36" s="97">
        <f>COUNTIF(G32:G36,G36)-1</f>
        <v>0</v>
      </c>
      <c r="J36" s="98"/>
      <c r="K36" s="95" t="str">
        <v/>
      </c>
      <c r="L36" s="96">
        <v>-1</v>
      </c>
      <c r="M36" s="96" t="str">
        <v/>
      </c>
      <c r="N36" s="97">
        <f>COUNTIF(L32:L36,L36)-1</f>
        <v>0</v>
      </c>
      <c r="O36" s="98"/>
      <c r="P36" s="95" t="str">
        <v/>
      </c>
      <c r="Q36" s="96">
        <v>-1</v>
      </c>
      <c r="R36" s="96" t="str">
        <v/>
      </c>
      <c r="S36" s="97">
        <f>COUNTIF(Q32:Q36,Q36)-1</f>
        <v>4</v>
      </c>
      <c r="T36" s="98"/>
      <c r="V36" s="69" t="str">
        <v>University of team 35</v>
      </c>
      <c r="W36" s="70">
        <v>5.71875</v>
      </c>
      <c r="X36" s="71" t="str">
        <v>University of team 28</v>
      </c>
      <c r="Y36" s="72">
        <v>4.6626506024096388</v>
      </c>
      <c r="Z36" s="69" t="str">
        <v>University of team 21</v>
      </c>
      <c r="AA36" s="70">
        <v>3.4842105263157896</v>
      </c>
      <c r="AB36" s="71" t="str">
        <v>University of team 30</v>
      </c>
      <c r="AC36" s="72">
        <v>2.3787878787878789</v>
      </c>
      <c r="AD36" s="69" t="str">
        <v/>
      </c>
      <c r="AE36" s="73">
        <v>0</v>
      </c>
      <c r="AF36" s="74" t="str">
        <v>University of team 21</v>
      </c>
      <c r="AG36" s="75">
        <v>3.4842105263157896</v>
      </c>
      <c r="AH36" s="76" t="str">
        <v>University of team 11</v>
      </c>
      <c r="AI36" s="77">
        <v>2.3199999999999998</v>
      </c>
      <c r="AJ36" s="78" t="str">
        <v>University of team 11</v>
      </c>
      <c r="AK36" s="79"/>
      <c r="AL36" s="80"/>
      <c r="AM36" s="80"/>
      <c r="AN36" s="81"/>
    </row>
    <row r="37" spans="1:40" ht="15.75" thickTop="1" x14ac:dyDescent="0.25">
      <c r="A37" s="51" t="str">
        <f>'Teams in Pools'!A7</f>
        <v>Pool 2</v>
      </c>
      <c r="B37" s="52"/>
      <c r="C37" s="52"/>
      <c r="D37" s="52"/>
      <c r="E37" s="53"/>
      <c r="F37" s="51" t="str">
        <f>'Teams in Pools'!C7</f>
        <v>Pool 6</v>
      </c>
      <c r="G37" s="52"/>
      <c r="H37" s="52"/>
      <c r="I37" s="52"/>
      <c r="J37" s="53"/>
      <c r="K37" s="51">
        <f>'Teams in Pools'!E7</f>
        <v>0</v>
      </c>
      <c r="L37" s="52"/>
      <c r="M37" s="52"/>
      <c r="N37" s="52"/>
      <c r="O37" s="53"/>
      <c r="P37" s="51">
        <f>'Teams in Pools'!G7</f>
        <v>0</v>
      </c>
      <c r="Q37" s="52"/>
      <c r="R37" s="52"/>
      <c r="S37" s="52"/>
      <c r="T37" s="53"/>
      <c r="V37" s="69" t="str">
        <v>University of team 16</v>
      </c>
      <c r="W37" s="70">
        <v>5.7142857142857144</v>
      </c>
      <c r="X37" s="71" t="str">
        <v>University of team 10</v>
      </c>
      <c r="Y37" s="72">
        <v>4.6228070175438596</v>
      </c>
      <c r="Z37" s="69" t="str">
        <v>University of team 23</v>
      </c>
      <c r="AA37" s="70">
        <v>3.4421052631578948</v>
      </c>
      <c r="AB37" s="71" t="str">
        <v>University of team 34</v>
      </c>
      <c r="AC37" s="72">
        <v>2.3766233766233764</v>
      </c>
      <c r="AD37" s="69" t="str">
        <v/>
      </c>
      <c r="AE37" s="73">
        <v>0</v>
      </c>
      <c r="AF37" s="74" t="str">
        <v>University of team 23</v>
      </c>
      <c r="AG37" s="75">
        <v>3.4421052631578948</v>
      </c>
      <c r="AH37" s="76" t="str">
        <v>University of team 17</v>
      </c>
      <c r="AI37" s="77">
        <v>2.1447368421052633</v>
      </c>
      <c r="AJ37" s="78" t="str">
        <v>University of team 17</v>
      </c>
      <c r="AK37" s="79"/>
      <c r="AL37" s="80"/>
      <c r="AM37" s="80"/>
      <c r="AN37" s="81"/>
    </row>
    <row r="38" spans="1:40" x14ac:dyDescent="0.25">
      <c r="A38" s="67" t="str">
        <f>IF(D38=0,"",D38)</f>
        <v>University of team 35</v>
      </c>
      <c r="D38" t="str" cm="1">
        <f t="array" ref="D38:D42">'Teams in Pools'!A8:A12</f>
        <v>University of team 35</v>
      </c>
      <c r="E38" s="68"/>
      <c r="F38" s="67" t="str">
        <f>IF(I38=0,"",I38)</f>
        <v>University of team 9</v>
      </c>
      <c r="I38" t="str" cm="1">
        <f t="array" ref="I38:I42">'Teams in Pools'!C8:C12</f>
        <v>University of team 9</v>
      </c>
      <c r="J38" s="68"/>
      <c r="K38" s="67" t="str">
        <f>IF(N38=0,"",N38)</f>
        <v/>
      </c>
      <c r="N38" cm="1">
        <f t="array" ref="N38:N42">'Teams in Pools'!E8:E12</f>
        <v>0</v>
      </c>
      <c r="O38" s="68"/>
      <c r="P38" s="67" t="str">
        <f>IF(S38=0,"",S38)</f>
        <v/>
      </c>
      <c r="S38" cm="1">
        <f t="array" ref="S38:S42">'Teams in Pools'!G8:G12</f>
        <v>0</v>
      </c>
      <c r="T38" s="68"/>
      <c r="V38" s="69" t="str">
        <v>University of team 6</v>
      </c>
      <c r="W38" s="70">
        <v>5.5727272727272723</v>
      </c>
      <c r="X38" s="71" t="str">
        <v>University of team 13</v>
      </c>
      <c r="Y38" s="72">
        <v>4.5392156862745097</v>
      </c>
      <c r="Z38" s="69" t="str">
        <v>University of team 24</v>
      </c>
      <c r="AA38" s="70">
        <v>3.4415584415584415</v>
      </c>
      <c r="AB38" s="71" t="str">
        <v>University of team 7</v>
      </c>
      <c r="AC38" s="72">
        <v>2.3663366336633662</v>
      </c>
      <c r="AD38" s="69" t="str">
        <v/>
      </c>
      <c r="AE38" s="73">
        <v>0</v>
      </c>
      <c r="AF38" s="74" t="str">
        <v>University of team 24</v>
      </c>
      <c r="AG38" s="75">
        <v>3.4415584415584415</v>
      </c>
      <c r="AH38" s="76" t="str">
        <v/>
      </c>
      <c r="AI38" s="77">
        <v>0</v>
      </c>
      <c r="AJ38" s="78" t="str">
        <v/>
      </c>
      <c r="AK38" s="79"/>
      <c r="AL38" s="80"/>
      <c r="AM38" s="80"/>
      <c r="AN38" s="81"/>
    </row>
    <row r="39" spans="1:40" x14ac:dyDescent="0.25">
      <c r="A39" s="67" t="str">
        <f t="shared" ref="A39:A42" si="4">IF(D39=0,"",D39)</f>
        <v>University of team 13</v>
      </c>
      <c r="D39" t="str">
        <v>University of team 13</v>
      </c>
      <c r="E39" s="68"/>
      <c r="F39" s="67" t="str">
        <f t="shared" ref="F39:F42" si="5">IF(I39=0,"",I39)</f>
        <v>University of team 21</v>
      </c>
      <c r="I39" t="str">
        <v>University of team 21</v>
      </c>
      <c r="J39" s="68"/>
      <c r="K39" s="67" t="str">
        <f t="shared" ref="K39:K42" si="6">IF(N39=0,"",N39)</f>
        <v/>
      </c>
      <c r="N39">
        <v>0</v>
      </c>
      <c r="O39" s="68"/>
      <c r="P39" s="67" t="str">
        <f t="shared" ref="P39:P42" si="7">IF(S39=0,"",S39)</f>
        <v/>
      </c>
      <c r="S39">
        <v>0</v>
      </c>
      <c r="T39" s="68"/>
      <c r="V39" s="69" t="str">
        <v>University of team 2</v>
      </c>
      <c r="W39" s="70">
        <v>5.5566037735849054</v>
      </c>
      <c r="X39" s="71" t="str">
        <v>University of team 31</v>
      </c>
      <c r="Y39" s="72">
        <v>4.5333333333333332</v>
      </c>
      <c r="Z39" s="69" t="str">
        <v>University of team 29</v>
      </c>
      <c r="AA39" s="70">
        <v>3.4390243902439024</v>
      </c>
      <c r="AB39" s="71" t="str">
        <v>University of team 15</v>
      </c>
      <c r="AC39" s="72">
        <v>2.3563218390804597</v>
      </c>
      <c r="AD39" s="69" t="str">
        <v/>
      </c>
      <c r="AE39" s="73">
        <v>0</v>
      </c>
      <c r="AF39" s="74" t="str">
        <v>University of team 29</v>
      </c>
      <c r="AG39" s="75">
        <v>3.4390243902439024</v>
      </c>
      <c r="AH39" s="76" t="str">
        <v/>
      </c>
      <c r="AI39" s="77">
        <v>0</v>
      </c>
      <c r="AJ39" s="78" t="str">
        <v/>
      </c>
      <c r="AK39" s="79"/>
      <c r="AL39" s="80"/>
      <c r="AM39" s="80"/>
      <c r="AN39" s="81"/>
    </row>
    <row r="40" spans="1:40" x14ac:dyDescent="0.25">
      <c r="A40" s="67" t="str">
        <f t="shared" si="4"/>
        <v>University of team 18</v>
      </c>
      <c r="D40" t="str">
        <v>University of team 18</v>
      </c>
      <c r="E40" s="68"/>
      <c r="F40" s="67" t="str">
        <f t="shared" si="5"/>
        <v>University of team 11</v>
      </c>
      <c r="I40" t="str">
        <v>University of team 11</v>
      </c>
      <c r="J40" s="68"/>
      <c r="K40" s="67" t="str">
        <f t="shared" si="6"/>
        <v/>
      </c>
      <c r="N40">
        <v>0</v>
      </c>
      <c r="O40" s="68"/>
      <c r="P40" s="67" t="str">
        <f t="shared" si="7"/>
        <v/>
      </c>
      <c r="S40">
        <v>0</v>
      </c>
      <c r="T40" s="68"/>
      <c r="V40" s="69" t="str">
        <v>University of team 8</v>
      </c>
      <c r="W40" s="70">
        <v>5.5232558139534884</v>
      </c>
      <c r="X40" s="71" t="str">
        <v>University of team 14</v>
      </c>
      <c r="Y40" s="72">
        <v>4.5106382978723403</v>
      </c>
      <c r="Z40" s="69" t="str">
        <v>University of team 25</v>
      </c>
      <c r="AA40" s="70">
        <v>3.4105263157894736</v>
      </c>
      <c r="AB40" s="71" t="str">
        <v>University of team 32</v>
      </c>
      <c r="AC40" s="72">
        <v>2.3396226415094339</v>
      </c>
      <c r="AD40" s="69" t="str">
        <v/>
      </c>
      <c r="AE40" s="73">
        <v>0</v>
      </c>
      <c r="AF40" s="74" t="str">
        <v>University of team 25</v>
      </c>
      <c r="AG40" s="75">
        <v>3.4105263157894736</v>
      </c>
      <c r="AH40" s="76" t="str">
        <v/>
      </c>
      <c r="AI40" s="77">
        <v>0</v>
      </c>
      <c r="AJ40" s="78" t="str">
        <v/>
      </c>
      <c r="AK40" s="79"/>
      <c r="AL40" s="80"/>
      <c r="AM40" s="80"/>
      <c r="AN40" s="81"/>
    </row>
    <row r="41" spans="1:40" x14ac:dyDescent="0.25">
      <c r="A41" s="67" t="str">
        <f t="shared" si="4"/>
        <v>University of team 32</v>
      </c>
      <c r="D41" t="str">
        <v>University of team 32</v>
      </c>
      <c r="E41" s="68"/>
      <c r="F41" s="67" t="str">
        <f t="shared" si="5"/>
        <v>University of team 8</v>
      </c>
      <c r="I41" t="str">
        <v>University of team 8</v>
      </c>
      <c r="J41" s="68"/>
      <c r="K41" s="67" t="str">
        <f t="shared" si="6"/>
        <v/>
      </c>
      <c r="N41">
        <v>0</v>
      </c>
      <c r="O41" s="68"/>
      <c r="P41" s="67" t="str">
        <f t="shared" si="7"/>
        <v/>
      </c>
      <c r="S41">
        <v>0</v>
      </c>
      <c r="T41" s="68"/>
      <c r="V41" s="69" t="str">
        <v>University of team 27</v>
      </c>
      <c r="W41" s="70">
        <v>5.4938271604938276</v>
      </c>
      <c r="X41" s="71" t="str">
        <v>University of team 33</v>
      </c>
      <c r="Y41" s="72">
        <v>4.5061728395061724</v>
      </c>
      <c r="Z41" s="69" t="str">
        <v>University of team 5</v>
      </c>
      <c r="AA41" s="70">
        <v>3.393258426966292</v>
      </c>
      <c r="AB41" s="71" t="str">
        <v>University of team 11</v>
      </c>
      <c r="AC41" s="72">
        <v>2.3199999999999998</v>
      </c>
      <c r="AD41" s="69" t="str">
        <v/>
      </c>
      <c r="AE41" s="73">
        <v>0</v>
      </c>
      <c r="AF41" s="74" t="str">
        <v>University of team 5</v>
      </c>
      <c r="AG41" s="75">
        <v>3.393258426966292</v>
      </c>
      <c r="AH41" s="76" t="str">
        <v/>
      </c>
      <c r="AI41" s="77">
        <v>0</v>
      </c>
      <c r="AJ41" s="78" t="str">
        <v/>
      </c>
      <c r="AK41" s="79"/>
      <c r="AL41" s="80"/>
      <c r="AM41" s="80"/>
      <c r="AN41" s="81"/>
    </row>
    <row r="42" spans="1:40" x14ac:dyDescent="0.25">
      <c r="A42" s="67" t="str">
        <f t="shared" si="4"/>
        <v/>
      </c>
      <c r="D42">
        <v>0</v>
      </c>
      <c r="E42" s="68"/>
      <c r="F42" s="67" t="str">
        <f t="shared" si="5"/>
        <v/>
      </c>
      <c r="I42">
        <v>0</v>
      </c>
      <c r="J42" s="68"/>
      <c r="K42" s="67" t="str">
        <f t="shared" si="6"/>
        <v/>
      </c>
      <c r="N42">
        <v>0</v>
      </c>
      <c r="O42" s="68"/>
      <c r="P42" s="67" t="str">
        <f t="shared" si="7"/>
        <v/>
      </c>
      <c r="S42">
        <v>0</v>
      </c>
      <c r="T42" s="68"/>
      <c r="V42" s="69" t="str">
        <v>University of team 36</v>
      </c>
      <c r="W42" s="70">
        <v>5.4666666666666668</v>
      </c>
      <c r="X42" s="71" t="str">
        <v>University of team 12</v>
      </c>
      <c r="Y42" s="72">
        <v>4.4862385321100922</v>
      </c>
      <c r="Z42" s="69" t="str">
        <v>University of team 20</v>
      </c>
      <c r="AA42" s="70">
        <v>3.3917525773195876</v>
      </c>
      <c r="AB42" s="71" t="str">
        <v>University of team 17</v>
      </c>
      <c r="AC42" s="72">
        <v>2.1447368421052633</v>
      </c>
      <c r="AD42" s="69" t="str">
        <v/>
      </c>
      <c r="AE42" s="73">
        <v>0</v>
      </c>
      <c r="AF42" s="74" t="str">
        <v>University of team 20</v>
      </c>
      <c r="AG42" s="75">
        <v>3.3917525773195876</v>
      </c>
      <c r="AH42" s="76" t="str">
        <v/>
      </c>
      <c r="AI42" s="77">
        <v>0</v>
      </c>
      <c r="AJ42" s="78" t="str">
        <v/>
      </c>
      <c r="AK42" s="79"/>
      <c r="AL42" s="80"/>
      <c r="AM42" s="80"/>
      <c r="AN42" s="81"/>
    </row>
    <row r="43" spans="1:40" x14ac:dyDescent="0.25">
      <c r="A43" s="67"/>
      <c r="E43" s="68"/>
      <c r="F43" s="67"/>
      <c r="J43" s="68"/>
      <c r="K43" s="67"/>
      <c r="O43" s="68"/>
      <c r="P43" s="67"/>
      <c r="T43" s="68"/>
      <c r="V43" s="69" t="str">
        <v/>
      </c>
      <c r="W43" s="70">
        <v>0</v>
      </c>
      <c r="X43" s="71" t="str">
        <v/>
      </c>
      <c r="Y43" s="72">
        <v>0</v>
      </c>
      <c r="Z43" s="69" t="str">
        <v/>
      </c>
      <c r="AA43" s="70">
        <v>0</v>
      </c>
      <c r="AB43" s="71" t="str">
        <v/>
      </c>
      <c r="AC43" s="72">
        <v>0</v>
      </c>
      <c r="AD43" s="69" t="str">
        <v/>
      </c>
      <c r="AE43" s="73">
        <v>0</v>
      </c>
      <c r="AF43" s="74" t="str">
        <v/>
      </c>
      <c r="AG43" s="75">
        <v>0</v>
      </c>
      <c r="AH43" s="76" t="str">
        <v/>
      </c>
      <c r="AI43" s="77">
        <v>0</v>
      </c>
      <c r="AJ43" s="78" t="str">
        <v/>
      </c>
      <c r="AK43" s="79"/>
      <c r="AL43" s="80"/>
      <c r="AM43" s="80"/>
      <c r="AN43" s="81"/>
    </row>
    <row r="44" spans="1:40" x14ac:dyDescent="0.25">
      <c r="A44" s="67" t="str">
        <f>A38</f>
        <v>University of team 35</v>
      </c>
      <c r="B44">
        <v>6</v>
      </c>
      <c r="C44">
        <v>5</v>
      </c>
      <c r="D44" t="str">
        <f>A39</f>
        <v>University of team 13</v>
      </c>
      <c r="E44" s="68"/>
      <c r="F44" s="67" t="str">
        <f>F38</f>
        <v>University of team 9</v>
      </c>
      <c r="G44">
        <v>25</v>
      </c>
      <c r="H44">
        <v>5</v>
      </c>
      <c r="I44" t="str">
        <f>F39</f>
        <v>University of team 21</v>
      </c>
      <c r="J44" s="68"/>
      <c r="K44" s="67" t="str">
        <f>K38</f>
        <v/>
      </c>
      <c r="N44" t="str">
        <f>K39</f>
        <v/>
      </c>
      <c r="O44" s="68"/>
      <c r="P44" s="67" t="str">
        <f>P38</f>
        <v/>
      </c>
      <c r="S44" t="str">
        <f>P39</f>
        <v/>
      </c>
      <c r="T44" s="68"/>
      <c r="V44" s="69" t="str">
        <v/>
      </c>
      <c r="W44" s="70">
        <v>0</v>
      </c>
      <c r="X44" s="71" t="str">
        <v/>
      </c>
      <c r="Y44" s="72">
        <v>0</v>
      </c>
      <c r="Z44" s="69" t="str">
        <v/>
      </c>
      <c r="AA44" s="70">
        <v>0</v>
      </c>
      <c r="AB44" s="71" t="str">
        <v/>
      </c>
      <c r="AC44" s="72">
        <v>0</v>
      </c>
      <c r="AD44" s="69" t="str">
        <v/>
      </c>
      <c r="AE44" s="73">
        <v>0</v>
      </c>
      <c r="AF44" s="74" t="str">
        <v/>
      </c>
      <c r="AG44" s="75">
        <v>0</v>
      </c>
      <c r="AH44" s="76" t="str">
        <v/>
      </c>
      <c r="AI44" s="77">
        <v>0</v>
      </c>
      <c r="AJ44" s="78" t="str">
        <v/>
      </c>
      <c r="AK44" s="79"/>
      <c r="AL44" s="80"/>
      <c r="AM44" s="80"/>
      <c r="AN44" s="81"/>
    </row>
    <row r="45" spans="1:40" x14ac:dyDescent="0.25">
      <c r="A45" s="67" t="str">
        <f>A38</f>
        <v>University of team 35</v>
      </c>
      <c r="B45">
        <v>22</v>
      </c>
      <c r="C45">
        <v>5</v>
      </c>
      <c r="D45" t="str">
        <f>A40</f>
        <v>University of team 18</v>
      </c>
      <c r="E45" s="68"/>
      <c r="F45" s="67" t="str">
        <f>F38</f>
        <v>University of team 9</v>
      </c>
      <c r="G45">
        <v>19</v>
      </c>
      <c r="H45">
        <v>4</v>
      </c>
      <c r="I45" t="str">
        <f>F40</f>
        <v>University of team 11</v>
      </c>
      <c r="J45" s="68"/>
      <c r="K45" s="67" t="str">
        <f>K38</f>
        <v/>
      </c>
      <c r="N45" t="str">
        <f>K40</f>
        <v/>
      </c>
      <c r="O45" s="68"/>
      <c r="P45" s="67" t="str">
        <f>P38</f>
        <v/>
      </c>
      <c r="S45" t="str">
        <f>P40</f>
        <v/>
      </c>
      <c r="T45" s="68"/>
      <c r="V45" s="69" t="str">
        <v/>
      </c>
      <c r="W45" s="70">
        <v>0</v>
      </c>
      <c r="X45" s="71" t="str">
        <v/>
      </c>
      <c r="Y45" s="72">
        <v>0</v>
      </c>
      <c r="Z45" s="69" t="str">
        <v/>
      </c>
      <c r="AA45" s="70">
        <v>0</v>
      </c>
      <c r="AB45" s="71" t="str">
        <v/>
      </c>
      <c r="AC45" s="72">
        <v>0</v>
      </c>
      <c r="AD45" s="69" t="str">
        <v/>
      </c>
      <c r="AE45" s="73">
        <v>0</v>
      </c>
      <c r="AF45" s="74" t="str">
        <v/>
      </c>
      <c r="AG45" s="75">
        <v>0</v>
      </c>
      <c r="AH45" s="76" t="str">
        <v/>
      </c>
      <c r="AI45" s="77">
        <v>0</v>
      </c>
      <c r="AJ45" s="78" t="str">
        <v/>
      </c>
      <c r="AK45" s="79"/>
      <c r="AL45" s="80"/>
      <c r="AM45" s="80"/>
      <c r="AN45" s="81"/>
    </row>
    <row r="46" spans="1:40" x14ac:dyDescent="0.25">
      <c r="A46" s="67" t="str">
        <f>A38</f>
        <v>University of team 35</v>
      </c>
      <c r="B46">
        <v>18</v>
      </c>
      <c r="C46">
        <v>8</v>
      </c>
      <c r="D46" t="str">
        <f>A41</f>
        <v>University of team 32</v>
      </c>
      <c r="E46" s="68"/>
      <c r="F46" s="67" t="str">
        <f>F38</f>
        <v>University of team 9</v>
      </c>
      <c r="G46">
        <v>8</v>
      </c>
      <c r="H46">
        <v>17</v>
      </c>
      <c r="I46" t="str">
        <f>F41</f>
        <v>University of team 8</v>
      </c>
      <c r="J46" s="68"/>
      <c r="K46" s="67" t="str">
        <f>K38</f>
        <v/>
      </c>
      <c r="N46" t="str">
        <f>K41</f>
        <v/>
      </c>
      <c r="O46" s="68"/>
      <c r="P46" s="67" t="str">
        <f>P38</f>
        <v/>
      </c>
      <c r="S46" t="str">
        <f>P41</f>
        <v/>
      </c>
      <c r="T46" s="68"/>
      <c r="V46" s="69" t="str">
        <v/>
      </c>
      <c r="W46" s="70">
        <v>0</v>
      </c>
      <c r="X46" s="71" t="str">
        <v/>
      </c>
      <c r="Y46" s="72">
        <v>0</v>
      </c>
      <c r="Z46" s="69" t="str">
        <v/>
      </c>
      <c r="AA46" s="70">
        <v>0</v>
      </c>
      <c r="AB46" s="71" t="str">
        <v/>
      </c>
      <c r="AC46" s="72">
        <v>0</v>
      </c>
      <c r="AD46" s="69" t="str">
        <v/>
      </c>
      <c r="AE46" s="73">
        <v>0</v>
      </c>
      <c r="AF46" s="74" t="str">
        <v/>
      </c>
      <c r="AG46" s="75">
        <v>0</v>
      </c>
      <c r="AH46" s="76" t="str">
        <v/>
      </c>
      <c r="AI46" s="77">
        <v>0</v>
      </c>
      <c r="AJ46" s="78" t="str">
        <v/>
      </c>
      <c r="AK46" s="79"/>
      <c r="AL46" s="80"/>
      <c r="AM46" s="80"/>
      <c r="AN46" s="81"/>
    </row>
    <row r="47" spans="1:40" x14ac:dyDescent="0.25">
      <c r="A47" s="67" t="str">
        <f>A38</f>
        <v>University of team 35</v>
      </c>
      <c r="D47" t="str">
        <f>A42</f>
        <v/>
      </c>
      <c r="E47" s="68"/>
      <c r="F47" s="67" t="str">
        <f>F38</f>
        <v>University of team 9</v>
      </c>
      <c r="I47" t="str">
        <f>F42</f>
        <v/>
      </c>
      <c r="J47" s="68"/>
      <c r="K47" s="67" t="str">
        <f>K38</f>
        <v/>
      </c>
      <c r="N47" t="str">
        <f>K42</f>
        <v/>
      </c>
      <c r="O47" s="68"/>
      <c r="P47" s="67" t="str">
        <f>P38</f>
        <v/>
      </c>
      <c r="S47" t="str">
        <f>P42</f>
        <v/>
      </c>
      <c r="T47" s="68"/>
      <c r="V47" s="69" t="str">
        <v/>
      </c>
      <c r="W47" s="70">
        <v>0</v>
      </c>
      <c r="X47" s="71" t="str">
        <v/>
      </c>
      <c r="Y47" s="72">
        <v>0</v>
      </c>
      <c r="Z47" s="69" t="str">
        <v/>
      </c>
      <c r="AA47" s="70">
        <v>0</v>
      </c>
      <c r="AB47" s="71" t="str">
        <v/>
      </c>
      <c r="AC47" s="72">
        <v>0</v>
      </c>
      <c r="AD47" s="69" t="str">
        <v/>
      </c>
      <c r="AE47" s="73">
        <v>0</v>
      </c>
      <c r="AF47" s="74" t="str">
        <v/>
      </c>
      <c r="AG47" s="75">
        <v>0</v>
      </c>
      <c r="AH47" s="76" t="str">
        <v/>
      </c>
      <c r="AI47" s="77">
        <v>0</v>
      </c>
      <c r="AJ47" s="78" t="str">
        <v/>
      </c>
      <c r="AK47" s="79"/>
      <c r="AL47" s="80"/>
      <c r="AM47" s="80"/>
      <c r="AN47" s="81"/>
    </row>
    <row r="48" spans="1:40" x14ac:dyDescent="0.25">
      <c r="A48" s="67" t="str">
        <f>A39</f>
        <v>University of team 13</v>
      </c>
      <c r="B48">
        <v>28</v>
      </c>
      <c r="C48">
        <v>27</v>
      </c>
      <c r="D48" t="str">
        <f>A40</f>
        <v>University of team 18</v>
      </c>
      <c r="E48" s="68"/>
      <c r="F48" s="67" t="str">
        <f>F39</f>
        <v>University of team 21</v>
      </c>
      <c r="G48">
        <v>26</v>
      </c>
      <c r="H48">
        <v>2</v>
      </c>
      <c r="I48" t="str">
        <f>F40</f>
        <v>University of team 11</v>
      </c>
      <c r="J48" s="68"/>
      <c r="K48" s="67" t="str">
        <f>K39</f>
        <v/>
      </c>
      <c r="N48" t="str">
        <f>K40</f>
        <v/>
      </c>
      <c r="O48" s="68"/>
      <c r="P48" s="67" t="str">
        <f>P39</f>
        <v/>
      </c>
      <c r="S48" t="str">
        <f>P40</f>
        <v/>
      </c>
      <c r="T48" s="68"/>
      <c r="V48" s="69" t="str">
        <v/>
      </c>
      <c r="W48" s="70">
        <v>0</v>
      </c>
      <c r="X48" s="71" t="str">
        <v/>
      </c>
      <c r="Y48" s="72">
        <v>0</v>
      </c>
      <c r="Z48" s="69" t="str">
        <v/>
      </c>
      <c r="AA48" s="70">
        <v>0</v>
      </c>
      <c r="AB48" s="71" t="str">
        <v/>
      </c>
      <c r="AC48" s="72">
        <v>0</v>
      </c>
      <c r="AD48" s="69" t="str">
        <v/>
      </c>
      <c r="AE48" s="73">
        <v>0</v>
      </c>
      <c r="AF48" s="74" t="str">
        <v/>
      </c>
      <c r="AG48" s="75">
        <v>0</v>
      </c>
      <c r="AH48" s="76" t="str">
        <v/>
      </c>
      <c r="AI48" s="77">
        <v>0</v>
      </c>
      <c r="AJ48" s="78" t="str">
        <v/>
      </c>
      <c r="AK48" s="79"/>
      <c r="AL48" s="80"/>
      <c r="AM48" s="80"/>
      <c r="AN48" s="81"/>
    </row>
    <row r="49" spans="1:40" ht="15.75" thickBot="1" x14ac:dyDescent="0.3">
      <c r="A49" s="67" t="str">
        <f>A39</f>
        <v>University of team 13</v>
      </c>
      <c r="B49">
        <v>22</v>
      </c>
      <c r="C49">
        <v>14</v>
      </c>
      <c r="D49" t="str">
        <f>A41</f>
        <v>University of team 32</v>
      </c>
      <c r="E49" s="68"/>
      <c r="F49" s="67" t="str">
        <f>F39</f>
        <v>University of team 21</v>
      </c>
      <c r="G49">
        <v>15</v>
      </c>
      <c r="H49">
        <v>22</v>
      </c>
      <c r="I49" t="str">
        <f>F41</f>
        <v>University of team 8</v>
      </c>
      <c r="J49" s="68"/>
      <c r="K49" s="67" t="str">
        <f>K39</f>
        <v/>
      </c>
      <c r="N49" t="str">
        <f>K41</f>
        <v/>
      </c>
      <c r="O49" s="68"/>
      <c r="P49" s="67" t="str">
        <f>P39</f>
        <v/>
      </c>
      <c r="S49" t="str">
        <f>P41</f>
        <v/>
      </c>
      <c r="T49" s="68"/>
      <c r="V49" s="99" t="str">
        <v/>
      </c>
      <c r="W49" s="100">
        <v>0</v>
      </c>
      <c r="X49" s="101" t="str">
        <v/>
      </c>
      <c r="Y49" s="102">
        <v>0</v>
      </c>
      <c r="Z49" s="99" t="str">
        <v/>
      </c>
      <c r="AA49" s="100">
        <v>0</v>
      </c>
      <c r="AB49" s="101" t="str">
        <v/>
      </c>
      <c r="AC49" s="102">
        <v>0</v>
      </c>
      <c r="AD49" s="99" t="str">
        <v/>
      </c>
      <c r="AE49" s="103">
        <v>0</v>
      </c>
      <c r="AF49" s="74" t="str">
        <v/>
      </c>
      <c r="AG49" s="75">
        <v>0</v>
      </c>
      <c r="AH49" s="76" t="str">
        <v/>
      </c>
      <c r="AI49" s="77">
        <v>0</v>
      </c>
      <c r="AJ49" s="78" t="str">
        <v/>
      </c>
      <c r="AK49" s="79"/>
      <c r="AL49" s="80"/>
      <c r="AM49" s="80"/>
      <c r="AN49" s="81"/>
    </row>
    <row r="50" spans="1:40" ht="15.75" thickTop="1" x14ac:dyDescent="0.25">
      <c r="A50" s="67" t="str">
        <f>A39</f>
        <v>University of team 13</v>
      </c>
      <c r="D50" t="str">
        <f>A42</f>
        <v/>
      </c>
      <c r="E50" s="68"/>
      <c r="F50" s="67" t="str">
        <f>F39</f>
        <v>University of team 21</v>
      </c>
      <c r="I50" t="str">
        <f>F42</f>
        <v/>
      </c>
      <c r="J50" s="68"/>
      <c r="K50" s="67" t="str">
        <f>K39</f>
        <v/>
      </c>
      <c r="N50" t="str">
        <f>K42</f>
        <v/>
      </c>
      <c r="O50" s="68"/>
      <c r="P50" s="67" t="str">
        <f>P39</f>
        <v/>
      </c>
      <c r="S50" t="str">
        <f>P42</f>
        <v/>
      </c>
      <c r="T50" s="68"/>
      <c r="AF50" s="74" t="str" cm="1">
        <f t="array" ref="AF50:AG65">AB34:AC49</f>
        <v>University of team 19</v>
      </c>
      <c r="AG50" s="75">
        <v>2.5106382978723403</v>
      </c>
      <c r="AH50" s="76" t="str">
        <v/>
      </c>
      <c r="AI50" s="77">
        <v>0</v>
      </c>
      <c r="AJ50" s="78" t="str">
        <v/>
      </c>
      <c r="AK50" s="79"/>
      <c r="AL50" s="80"/>
      <c r="AM50" s="80"/>
      <c r="AN50" s="81"/>
    </row>
    <row r="51" spans="1:40" x14ac:dyDescent="0.25">
      <c r="A51" s="67" t="str">
        <f>A40</f>
        <v>University of team 18</v>
      </c>
      <c r="B51">
        <v>30</v>
      </c>
      <c r="C51">
        <v>14</v>
      </c>
      <c r="D51" t="str">
        <f>A41</f>
        <v>University of team 32</v>
      </c>
      <c r="E51" s="68"/>
      <c r="F51" s="67" t="str">
        <f>F40</f>
        <v>University of team 11</v>
      </c>
      <c r="G51">
        <v>18</v>
      </c>
      <c r="H51">
        <v>6</v>
      </c>
      <c r="I51" t="str">
        <f>F41</f>
        <v>University of team 8</v>
      </c>
      <c r="J51" s="68"/>
      <c r="K51" s="67" t="str">
        <f>K40</f>
        <v/>
      </c>
      <c r="N51" t="str">
        <f>K41</f>
        <v/>
      </c>
      <c r="O51" s="68"/>
      <c r="P51" s="67" t="str">
        <f>P40</f>
        <v/>
      </c>
      <c r="S51" t="str">
        <f>P41</f>
        <v/>
      </c>
      <c r="T51" s="68"/>
      <c r="AF51" s="74" t="str">
        <v>University of team 3</v>
      </c>
      <c r="AG51" s="75">
        <v>2.4492753623188408</v>
      </c>
      <c r="AH51" s="76" t="str">
        <v/>
      </c>
      <c r="AI51" s="77">
        <v>0</v>
      </c>
      <c r="AJ51" s="78" t="str">
        <v/>
      </c>
      <c r="AK51" s="79"/>
      <c r="AL51" s="80"/>
      <c r="AM51" s="80"/>
      <c r="AN51" s="81"/>
    </row>
    <row r="52" spans="1:40" x14ac:dyDescent="0.25">
      <c r="A52" s="67" t="str">
        <f>A40</f>
        <v>University of team 18</v>
      </c>
      <c r="D52" t="str">
        <f>A42</f>
        <v/>
      </c>
      <c r="E52" s="68"/>
      <c r="F52" s="67" t="str">
        <f>F40</f>
        <v>University of team 11</v>
      </c>
      <c r="I52" t="str">
        <f>F42</f>
        <v/>
      </c>
      <c r="J52" s="68"/>
      <c r="K52" s="67" t="str">
        <f>K40</f>
        <v/>
      </c>
      <c r="N52" t="str">
        <f>K42</f>
        <v/>
      </c>
      <c r="O52" s="68"/>
      <c r="P52" s="67" t="str">
        <f>P40</f>
        <v/>
      </c>
      <c r="S52" t="str">
        <f>P42</f>
        <v/>
      </c>
      <c r="T52" s="68"/>
      <c r="AF52" s="74" t="str">
        <v>University of team 30</v>
      </c>
      <c r="AG52" s="75">
        <v>2.3787878787878789</v>
      </c>
      <c r="AH52" s="76" t="str">
        <v/>
      </c>
      <c r="AI52" s="77">
        <v>0</v>
      </c>
      <c r="AJ52" s="78" t="str">
        <v/>
      </c>
      <c r="AK52" s="79"/>
      <c r="AL52" s="80"/>
      <c r="AM52" s="80"/>
      <c r="AN52" s="81"/>
    </row>
    <row r="53" spans="1:40" x14ac:dyDescent="0.25">
      <c r="A53" s="67" t="str">
        <f>A41</f>
        <v>University of team 32</v>
      </c>
      <c r="D53" t="str">
        <f>A42</f>
        <v/>
      </c>
      <c r="E53" s="68"/>
      <c r="F53" s="67" t="str">
        <f>F41</f>
        <v>University of team 8</v>
      </c>
      <c r="I53" t="str">
        <f>F42</f>
        <v/>
      </c>
      <c r="J53" s="68"/>
      <c r="K53" s="67" t="str">
        <f>K41</f>
        <v/>
      </c>
      <c r="N53" t="str">
        <f>K42</f>
        <v/>
      </c>
      <c r="O53" s="68"/>
      <c r="P53" s="67" t="str">
        <f>P41</f>
        <v/>
      </c>
      <c r="S53" t="str">
        <f>P42</f>
        <v/>
      </c>
      <c r="T53" s="68"/>
      <c r="AF53" s="74" t="str">
        <v>University of team 34</v>
      </c>
      <c r="AG53" s="75">
        <v>2.3766233766233764</v>
      </c>
      <c r="AH53" s="76" t="str">
        <v/>
      </c>
      <c r="AI53" s="77">
        <v>0</v>
      </c>
      <c r="AJ53" s="78" t="str">
        <v/>
      </c>
      <c r="AK53" s="79"/>
      <c r="AL53" s="80"/>
      <c r="AM53" s="80"/>
      <c r="AN53" s="81"/>
    </row>
    <row r="54" spans="1:40" x14ac:dyDescent="0.25">
      <c r="A54" s="67"/>
      <c r="E54" s="68"/>
      <c r="F54" s="67"/>
      <c r="J54" s="68"/>
      <c r="K54" s="67"/>
      <c r="O54" s="68"/>
      <c r="P54" s="67"/>
      <c r="T54" s="68"/>
      <c r="AF54" s="74" t="str">
        <v>University of team 7</v>
      </c>
      <c r="AG54" s="75">
        <v>2.3663366336633662</v>
      </c>
      <c r="AH54" s="76" t="str">
        <v/>
      </c>
      <c r="AI54" s="77">
        <v>0</v>
      </c>
      <c r="AJ54" s="78" t="str">
        <v/>
      </c>
      <c r="AK54" s="79"/>
      <c r="AL54" s="80"/>
      <c r="AM54" s="80"/>
      <c r="AN54" s="81"/>
    </row>
    <row r="55" spans="1:40" x14ac:dyDescent="0.25">
      <c r="A55" s="67"/>
      <c r="B55" t="s">
        <v>19</v>
      </c>
      <c r="C55" t="s">
        <v>20</v>
      </c>
      <c r="E55" s="68"/>
      <c r="F55" s="67"/>
      <c r="G55" t="s">
        <v>19</v>
      </c>
      <c r="H55" t="s">
        <v>20</v>
      </c>
      <c r="J55" s="68"/>
      <c r="K55" s="67"/>
      <c r="L55" t="s">
        <v>19</v>
      </c>
      <c r="M55" t="s">
        <v>20</v>
      </c>
      <c r="O55" s="68"/>
      <c r="P55" s="67"/>
      <c r="Q55" t="s">
        <v>19</v>
      </c>
      <c r="R55" t="s">
        <v>20</v>
      </c>
      <c r="T55" s="68"/>
      <c r="AF55" s="74" t="str">
        <v>University of team 15</v>
      </c>
      <c r="AG55" s="75">
        <v>2.3563218390804597</v>
      </c>
      <c r="AH55" s="76" t="str">
        <v/>
      </c>
      <c r="AI55" s="77">
        <v>0</v>
      </c>
      <c r="AJ55" s="78" t="str">
        <v/>
      </c>
      <c r="AK55" s="79"/>
      <c r="AL55" s="80"/>
      <c r="AM55" s="80"/>
      <c r="AN55" s="81"/>
    </row>
    <row r="56" spans="1:40" x14ac:dyDescent="0.25">
      <c r="A56" s="67" t="str">
        <f>A38</f>
        <v>University of team 35</v>
      </c>
      <c r="B56">
        <f>B44+B45+B46+B47</f>
        <v>46</v>
      </c>
      <c r="C56">
        <f>C44+C45+C46+C47+B47+B46+B45+B44</f>
        <v>64</v>
      </c>
      <c r="E56" s="68"/>
      <c r="F56" s="67" t="str">
        <f>F38</f>
        <v>University of team 9</v>
      </c>
      <c r="G56">
        <f>G44+G45+G46+G47</f>
        <v>52</v>
      </c>
      <c r="H56">
        <f>H44+H45+H46+H47+G47+G46+G45+G44</f>
        <v>78</v>
      </c>
      <c r="J56" s="68"/>
      <c r="K56" s="67" t="str">
        <f>K38</f>
        <v/>
      </c>
      <c r="L56">
        <f>L44+L45+L46+L47</f>
        <v>0</v>
      </c>
      <c r="M56">
        <f>M44+M45+M46+M47+L47+L46+L45+L44</f>
        <v>0</v>
      </c>
      <c r="O56" s="68"/>
      <c r="P56" s="67" t="str">
        <f>P38</f>
        <v/>
      </c>
      <c r="Q56">
        <f>Q44+Q45+Q46+Q47</f>
        <v>0</v>
      </c>
      <c r="R56">
        <f>R44+R45+R46+R47+Q47+Q46+Q45+Q44</f>
        <v>0</v>
      </c>
      <c r="T56" s="68"/>
      <c r="AF56" s="74" t="str">
        <v>University of team 32</v>
      </c>
      <c r="AG56" s="75">
        <v>2.3396226415094339</v>
      </c>
      <c r="AH56" s="76" t="str">
        <v/>
      </c>
      <c r="AI56" s="77">
        <v>0</v>
      </c>
      <c r="AJ56" s="78" t="str">
        <v/>
      </c>
      <c r="AK56" s="79"/>
      <c r="AL56" s="80"/>
      <c r="AM56" s="80"/>
      <c r="AN56" s="81"/>
    </row>
    <row r="57" spans="1:40" x14ac:dyDescent="0.25">
      <c r="A57" s="67" t="str">
        <f>A39</f>
        <v>University of team 13</v>
      </c>
      <c r="B57">
        <f>B48+B49+B50+C44</f>
        <v>55</v>
      </c>
      <c r="C57">
        <f>B48+B49+B50+C48+C49+C50+C44+B44</f>
        <v>102</v>
      </c>
      <c r="E57" s="68"/>
      <c r="F57" s="67" t="str">
        <f>F39</f>
        <v>University of team 21</v>
      </c>
      <c r="G57">
        <f>G48+G49+G50+H44</f>
        <v>46</v>
      </c>
      <c r="H57">
        <f>G48+G49+G50+H48+H49+H50+H44+G44</f>
        <v>95</v>
      </c>
      <c r="J57" s="68"/>
      <c r="K57" s="67" t="str">
        <f>K39</f>
        <v/>
      </c>
      <c r="L57">
        <f>L48+L49+L50+M44</f>
        <v>0</v>
      </c>
      <c r="M57">
        <f>L48+L49+L50+M48+M49+M50+M44+L44</f>
        <v>0</v>
      </c>
      <c r="O57" s="68"/>
      <c r="P57" s="67" t="str">
        <f>P39</f>
        <v/>
      </c>
      <c r="Q57">
        <f>Q48+Q49+Q50+R44</f>
        <v>0</v>
      </c>
      <c r="R57">
        <f>Q48+Q49+Q50+R48+R49+R50+R44+Q44</f>
        <v>0</v>
      </c>
      <c r="T57" s="68"/>
      <c r="AF57" s="74" t="str">
        <v>University of team 11</v>
      </c>
      <c r="AG57" s="75">
        <v>2.3199999999999998</v>
      </c>
      <c r="AH57" s="76" t="str">
        <v/>
      </c>
      <c r="AI57" s="77">
        <v>0</v>
      </c>
      <c r="AJ57" s="78" t="str">
        <v/>
      </c>
      <c r="AK57" s="79"/>
      <c r="AL57" s="80"/>
      <c r="AM57" s="80"/>
      <c r="AN57" s="81"/>
    </row>
    <row r="58" spans="1:40" x14ac:dyDescent="0.25">
      <c r="A58" s="67" t="str">
        <f>A40</f>
        <v>University of team 18</v>
      </c>
      <c r="B58">
        <f>B51+B52+C48+C45</f>
        <v>62</v>
      </c>
      <c r="C58">
        <f>B51+B52+C45+C48+C51+C52+B48+B45</f>
        <v>126</v>
      </c>
      <c r="E58" s="68"/>
      <c r="F58" s="67" t="str">
        <f>F40</f>
        <v>University of team 11</v>
      </c>
      <c r="G58">
        <f>G51+G52+H48+H45</f>
        <v>24</v>
      </c>
      <c r="H58">
        <f>G51+G52+H45+H48+H51+H52+G48+G45</f>
        <v>75</v>
      </c>
      <c r="J58" s="68"/>
      <c r="K58" s="67" t="str">
        <f>K40</f>
        <v/>
      </c>
      <c r="L58">
        <f>L51+L52+M48+M45</f>
        <v>0</v>
      </c>
      <c r="M58">
        <f>L51+L52+M45+M48+M51+M52+L48+L45</f>
        <v>0</v>
      </c>
      <c r="O58" s="68"/>
      <c r="P58" s="67" t="str">
        <f>P40</f>
        <v/>
      </c>
      <c r="Q58">
        <f>Q51+Q52+R48+R45</f>
        <v>0</v>
      </c>
      <c r="R58">
        <f>Q51+Q52+R45+R48+R51+R52+Q48+Q45</f>
        <v>0</v>
      </c>
      <c r="T58" s="68"/>
      <c r="AF58" s="74" t="str">
        <v>University of team 17</v>
      </c>
      <c r="AG58" s="75">
        <v>2.1447368421052633</v>
      </c>
      <c r="AH58" s="76" t="str">
        <v/>
      </c>
      <c r="AI58" s="77">
        <v>0</v>
      </c>
      <c r="AJ58" s="78" t="str">
        <v/>
      </c>
      <c r="AK58" s="79"/>
      <c r="AL58" s="80"/>
      <c r="AM58" s="80"/>
      <c r="AN58" s="81"/>
    </row>
    <row r="59" spans="1:40" x14ac:dyDescent="0.25">
      <c r="A59" s="67" t="str">
        <f>A41</f>
        <v>University of team 32</v>
      </c>
      <c r="B59">
        <f>B53+C46+C49+C51</f>
        <v>36</v>
      </c>
      <c r="C59">
        <f>B53+C46+C49+C51+B51+C53+B49+B46</f>
        <v>106</v>
      </c>
      <c r="E59" s="68"/>
      <c r="F59" s="67" t="str">
        <f>F41</f>
        <v>University of team 8</v>
      </c>
      <c r="G59">
        <f>G53+H46+H49+H51</f>
        <v>45</v>
      </c>
      <c r="H59">
        <f>G53+H46+H49+H51+G51+H53+G49+G46</f>
        <v>86</v>
      </c>
      <c r="J59" s="68"/>
      <c r="K59" s="67" t="str">
        <f>K41</f>
        <v/>
      </c>
      <c r="L59">
        <f>L53+M46+M49+M51</f>
        <v>0</v>
      </c>
      <c r="M59">
        <f>L53+M46+M49+M51+L51+M53+L49+L46</f>
        <v>0</v>
      </c>
      <c r="O59" s="68"/>
      <c r="P59" s="67" t="str">
        <f>P41</f>
        <v/>
      </c>
      <c r="Q59">
        <f>Q53+R46+R49+R51</f>
        <v>0</v>
      </c>
      <c r="R59">
        <f>Q53+R46+R49+R51+Q51+R53+Q49+Q46</f>
        <v>0</v>
      </c>
      <c r="T59" s="68"/>
      <c r="AF59" s="74" t="str">
        <v/>
      </c>
      <c r="AG59" s="75">
        <v>0</v>
      </c>
      <c r="AH59" s="76" t="str">
        <v/>
      </c>
      <c r="AI59" s="77">
        <v>0</v>
      </c>
      <c r="AJ59" s="78" t="str">
        <v/>
      </c>
      <c r="AK59" s="79"/>
      <c r="AL59" s="80"/>
      <c r="AM59" s="80"/>
      <c r="AN59" s="81"/>
    </row>
    <row r="60" spans="1:40" x14ac:dyDescent="0.25">
      <c r="A60" s="67" t="str">
        <f>A42</f>
        <v/>
      </c>
      <c r="B60">
        <f>C53+C52+C50+C47</f>
        <v>0</v>
      </c>
      <c r="C60">
        <f>C53+C52+C50+C47+B47+B50+B52+B53</f>
        <v>0</v>
      </c>
      <c r="E60" s="68"/>
      <c r="F60" s="67" t="str">
        <f>F42</f>
        <v/>
      </c>
      <c r="G60">
        <f>H53+H52+H50+H47</f>
        <v>0</v>
      </c>
      <c r="H60">
        <f>H53+H52+H50+H47+G47+G50+G52+G53</f>
        <v>0</v>
      </c>
      <c r="J60" s="68"/>
      <c r="K60" s="67" t="str">
        <f>K42</f>
        <v/>
      </c>
      <c r="L60">
        <f>M53+M52+M50+M47</f>
        <v>0</v>
      </c>
      <c r="M60">
        <f>M53+M52+M50+M47+L47+L50+L52+L53</f>
        <v>0</v>
      </c>
      <c r="O60" s="68"/>
      <c r="P60" s="67" t="str">
        <f>P42</f>
        <v/>
      </c>
      <c r="Q60">
        <f>R53+R52+R50+R47</f>
        <v>0</v>
      </c>
      <c r="R60">
        <f>R53+R52+R50+R47+Q47+Q50+Q52+Q53</f>
        <v>0</v>
      </c>
      <c r="T60" s="68"/>
      <c r="AF60" s="74" t="str">
        <v/>
      </c>
      <c r="AG60" s="75">
        <v>0</v>
      </c>
      <c r="AH60" s="76" t="str">
        <v/>
      </c>
      <c r="AI60" s="77">
        <v>0</v>
      </c>
      <c r="AJ60" s="78" t="str">
        <v/>
      </c>
      <c r="AK60" s="79"/>
      <c r="AL60" s="80"/>
      <c r="AM60" s="80"/>
      <c r="AN60" s="81"/>
    </row>
    <row r="61" spans="1:40" x14ac:dyDescent="0.25">
      <c r="A61" s="67"/>
      <c r="E61" s="68"/>
      <c r="F61" s="67"/>
      <c r="J61" s="68"/>
      <c r="K61" s="67"/>
      <c r="O61" s="68"/>
      <c r="P61" s="67"/>
      <c r="T61" s="68"/>
      <c r="AF61" s="74" t="str">
        <v/>
      </c>
      <c r="AG61" s="75">
        <v>0</v>
      </c>
      <c r="AH61" s="76" t="str">
        <v/>
      </c>
      <c r="AI61" s="77">
        <v>0</v>
      </c>
      <c r="AJ61" s="78" t="str">
        <v/>
      </c>
      <c r="AK61" s="79"/>
      <c r="AL61" s="80"/>
      <c r="AM61" s="80"/>
      <c r="AN61" s="81"/>
    </row>
    <row r="62" spans="1:40" x14ac:dyDescent="0.25">
      <c r="A62" s="67"/>
      <c r="B62" t="s">
        <v>17</v>
      </c>
      <c r="C62" t="s">
        <v>18</v>
      </c>
      <c r="E62" s="68" t="s">
        <v>18</v>
      </c>
      <c r="F62" s="67"/>
      <c r="G62" t="s">
        <v>17</v>
      </c>
      <c r="H62" t="s">
        <v>18</v>
      </c>
      <c r="J62" s="68" t="s">
        <v>18</v>
      </c>
      <c r="K62" s="67"/>
      <c r="L62" t="s">
        <v>17</v>
      </c>
      <c r="M62" t="s">
        <v>18</v>
      </c>
      <c r="O62" s="68" t="s">
        <v>18</v>
      </c>
      <c r="P62" s="67"/>
      <c r="Q62" t="s">
        <v>17</v>
      </c>
      <c r="R62" t="s">
        <v>18</v>
      </c>
      <c r="T62" s="68" t="s">
        <v>18</v>
      </c>
      <c r="AF62" s="74" t="str">
        <v/>
      </c>
      <c r="AG62" s="75">
        <v>0</v>
      </c>
      <c r="AH62" s="76" t="str">
        <v/>
      </c>
      <c r="AI62" s="77">
        <v>0</v>
      </c>
      <c r="AJ62" s="78" t="str">
        <v/>
      </c>
      <c r="AK62" s="79"/>
      <c r="AL62" s="80"/>
      <c r="AM62" s="80"/>
      <c r="AN62" s="81"/>
    </row>
    <row r="63" spans="1:40" x14ac:dyDescent="0.25">
      <c r="A63" s="87" t="str">
        <f>A38</f>
        <v>University of team 35</v>
      </c>
      <c r="B63" s="88" cm="1">
        <f t="array" ref="B63">IF(LEN(A63)=0,-1,SUMPRODUCT(((A44:A53=$A63)*(B44:B53&gt;C44:C53))+((D44:D53=$A63)*(C44:C53&gt;B44:B53))))</f>
        <v>3</v>
      </c>
      <c r="C63" s="89">
        <f>IFERROR(B56/C56,"")</f>
        <v>0.71875</v>
      </c>
      <c r="D63" s="90" t="s">
        <v>171</v>
      </c>
      <c r="E63" s="75">
        <v>0.71875</v>
      </c>
      <c r="F63" s="87" t="str">
        <f>F38</f>
        <v>University of team 9</v>
      </c>
      <c r="G63" s="88" cm="1">
        <f t="array" ref="G63">IF(LEN(F63)=0,-1,SUMPRODUCT(((F44:F53=$F63)*(G44:G53&gt;H44:H53))+((I44:I53=$F63)*(H44:H53&gt;G44:G53))))</f>
        <v>2</v>
      </c>
      <c r="H63" s="89">
        <f>IFERROR(G56/H56,"")</f>
        <v>0.66666666666666663</v>
      </c>
      <c r="I63" s="90" t="s">
        <v>144</v>
      </c>
      <c r="J63" s="75">
        <v>0.52325581395348841</v>
      </c>
      <c r="K63" s="87" t="str">
        <f>K38</f>
        <v/>
      </c>
      <c r="L63" s="88" cm="1">
        <f t="array" ref="L63">IF(LEN(K63)=0,-1,SUMPRODUCT(((K44:K53=$K63)*(L44:L53&gt;M44:M53))+((N44:N53=$K63)*(M44:M53&gt;L44:L53))))</f>
        <v>-1</v>
      </c>
      <c r="M63" s="89" t="str">
        <f>IFERROR(L56/M56,"")</f>
        <v/>
      </c>
      <c r="N63" s="90"/>
      <c r="O63" s="75"/>
      <c r="P63" s="87" t="str">
        <f>P38</f>
        <v/>
      </c>
      <c r="Q63" s="88" cm="1">
        <f t="array" ref="Q63">IF(LEN(P63)=0,-1,SUMPRODUCT(((P44:P53=$P63)*(Q44:Q53&gt;R44:R53))+((S44:S53=$P63)*(R44:R53&gt;Q44:Q53))))</f>
        <v>-1</v>
      </c>
      <c r="R63" s="89" t="str">
        <f>IFERROR(Q56/R56,"")</f>
        <v/>
      </c>
      <c r="S63" s="90"/>
      <c r="T63" s="75"/>
      <c r="AF63" s="74" t="str">
        <v/>
      </c>
      <c r="AG63" s="75">
        <v>0</v>
      </c>
      <c r="AH63" s="76" t="str">
        <v/>
      </c>
      <c r="AI63" s="77">
        <v>0</v>
      </c>
      <c r="AJ63" s="78" t="str">
        <v/>
      </c>
      <c r="AK63" s="79"/>
      <c r="AL63" s="80"/>
      <c r="AM63" s="80"/>
      <c r="AN63" s="81"/>
    </row>
    <row r="64" spans="1:40" x14ac:dyDescent="0.25">
      <c r="A64" s="67" t="str">
        <f>A39</f>
        <v>University of team 13</v>
      </c>
      <c r="B64" cm="1">
        <f t="array" ref="B64">IF(LEN(A64)=0,-1,SUMPRODUCT(((A44:A53=$A64)*(B44:B53&gt;C44:C53))+((D44:D53=$A64)*(C44:C53&gt;B44:B53))))</f>
        <v>2</v>
      </c>
      <c r="C64" s="91">
        <f>IFERROR(B57/C57,"")</f>
        <v>0.53921568627450978</v>
      </c>
      <c r="D64" s="90" t="s">
        <v>149</v>
      </c>
      <c r="E64" s="75">
        <v>0.53921568627450978</v>
      </c>
      <c r="F64" s="67" t="str">
        <f>F39</f>
        <v>University of team 21</v>
      </c>
      <c r="G64" cm="1">
        <f t="array" ref="G64">IF(LEN(F64)=0,"-1",SUMPRODUCT(((F44:F53=$F64)*(G44:G53&gt;H44:H53))+((I44:I53=$F64)*(H44:H53&gt;G44:G53))))</f>
        <v>1</v>
      </c>
      <c r="H64" s="91">
        <f>IFERROR(G57/H57,"")</f>
        <v>0.48421052631578948</v>
      </c>
      <c r="I64" s="90" t="s">
        <v>145</v>
      </c>
      <c r="J64" s="75">
        <v>0.66666666666666663</v>
      </c>
      <c r="K64" s="67" t="str">
        <f>K39</f>
        <v/>
      </c>
      <c r="L64" cm="1">
        <f t="array" ref="L64">IF(LEN(K64)=0,-1,SUMPRODUCT(((K44:K53=$K64)*(L44:L53&gt;M44:M53))+((N44:N53=$K64)*(M44:M53&gt;L44:L53))))</f>
        <v>-1</v>
      </c>
      <c r="M64" s="91" t="str">
        <f>IFERROR(L57/M57,"")</f>
        <v/>
      </c>
      <c r="N64" s="90"/>
      <c r="O64" s="75"/>
      <c r="P64" s="67" t="str">
        <f>P39</f>
        <v/>
      </c>
      <c r="Q64" cm="1">
        <f t="array" ref="Q64">IF(LEN(P64)=0,-1,SUMPRODUCT(((P44:P53=$P64)*(Q44:Q53&gt;R44:R53))+((S44:S53=$P64)*(R44:R53&gt;Q44:Q53))))</f>
        <v>-1</v>
      </c>
      <c r="R64" s="91" t="str">
        <f>IFERROR(Q57/R57,"")</f>
        <v/>
      </c>
      <c r="S64" s="90"/>
      <c r="T64" s="75"/>
      <c r="AF64" s="74" t="str">
        <v/>
      </c>
      <c r="AG64" s="75">
        <v>0</v>
      </c>
      <c r="AH64" s="76" t="str">
        <v/>
      </c>
      <c r="AI64" s="77">
        <v>0</v>
      </c>
      <c r="AJ64" s="78" t="str">
        <v/>
      </c>
      <c r="AK64" s="79"/>
      <c r="AL64" s="80"/>
      <c r="AM64" s="80"/>
      <c r="AN64" s="81"/>
    </row>
    <row r="65" spans="1:40" ht="15.75" thickBot="1" x14ac:dyDescent="0.3">
      <c r="A65" s="67" t="str">
        <f>A40</f>
        <v>University of team 18</v>
      </c>
      <c r="B65" cm="1">
        <f t="array" ref="B65">IF(LEN(A65)=0,-1,SUMPRODUCT(((A44:A53=$A65)*(B44:B53&gt;C44:C53))+((D44:D53=$A65)*(C44:C53&gt;B44:B53))))</f>
        <v>1</v>
      </c>
      <c r="C65" s="91">
        <f>IFERROR(B58/C58,"")</f>
        <v>0.49206349206349204</v>
      </c>
      <c r="D65" s="90" t="s">
        <v>154</v>
      </c>
      <c r="E65" s="75">
        <v>0.49206349206349204</v>
      </c>
      <c r="F65" s="67" t="str">
        <f>F40</f>
        <v>University of team 11</v>
      </c>
      <c r="G65" cm="1">
        <f t="array" ref="G65">IF(LEN(F65)=0,-1,SUMPRODUCT(((F44:F53=$F65)*(G44:G53&gt;H44:H53))+((I44:I53=$F65)*(H44:H53&gt;G44:G53))))</f>
        <v>1</v>
      </c>
      <c r="H65" s="91">
        <f>IFERROR(G58/H58,"")</f>
        <v>0.32</v>
      </c>
      <c r="I65" s="90" t="s">
        <v>157</v>
      </c>
      <c r="J65" s="75">
        <v>0.48421052631578948</v>
      </c>
      <c r="K65" s="67" t="str">
        <f>K40</f>
        <v/>
      </c>
      <c r="L65" cm="1">
        <f t="array" ref="L65">IF(LEN(K65)=0,-1,SUMPRODUCT(((K44:K53=$K65)*(L44:L53&gt;M44:M53))+((N44:N53=$K65)*(M44:M53&gt;L44:L53))))</f>
        <v>-1</v>
      </c>
      <c r="M65" s="91" t="str">
        <f>IFERROR(L58/M58,"")</f>
        <v/>
      </c>
      <c r="N65" s="90"/>
      <c r="O65" s="75"/>
      <c r="P65" s="67" t="str">
        <f>P40</f>
        <v/>
      </c>
      <c r="Q65" cm="1">
        <f t="array" ref="Q65">IF(LEN(P65)=0,-1,SUMPRODUCT(((P44:P53=$P65)*(Q44:Q53&gt;R44:R53))+((S44:S53=$P65)*(R44:R53&gt;Q44:Q53))))</f>
        <v>-1</v>
      </c>
      <c r="R65" s="91" t="str">
        <f>IFERROR(Q58/R58,"")</f>
        <v/>
      </c>
      <c r="S65" s="90"/>
      <c r="T65" s="75"/>
      <c r="AF65" s="74" t="str">
        <v/>
      </c>
      <c r="AG65" s="75">
        <v>0</v>
      </c>
      <c r="AH65" s="76" t="str">
        <v/>
      </c>
      <c r="AI65" s="77">
        <v>0</v>
      </c>
      <c r="AJ65" s="104" t="str">
        <v/>
      </c>
      <c r="AK65" s="105"/>
      <c r="AL65" s="106"/>
      <c r="AM65" s="106"/>
      <c r="AN65" s="107"/>
    </row>
    <row r="66" spans="1:40" ht="15.75" thickTop="1" x14ac:dyDescent="0.25">
      <c r="A66" s="67" t="str">
        <f>A41</f>
        <v>University of team 32</v>
      </c>
      <c r="B66" cm="1">
        <f t="array" ref="B66">IF(LEN(A66)=0,-1,SUMPRODUCT(((A44:A53=$A66)*(B44:B53&gt;C44:C53))+((D44:D53=$A66)*(C44:C53&gt;B44:B53))))</f>
        <v>0</v>
      </c>
      <c r="C66" s="91">
        <f>IFERROR(B59/C59,"")</f>
        <v>0.33962264150943394</v>
      </c>
      <c r="D66" s="90" t="s">
        <v>168</v>
      </c>
      <c r="E66" s="75">
        <v>0.33962264150943394</v>
      </c>
      <c r="F66" s="67" t="str">
        <f>F41</f>
        <v>University of team 8</v>
      </c>
      <c r="G66" cm="1">
        <f t="array" ref="G66">IF(LEN(F66)=0,-1,SUMPRODUCT(((F44:F53=$F66)*(G44:G53&gt;H44:H53))+((I44:I53=$F66)*(H44:H53&gt;G44:G53))))</f>
        <v>2</v>
      </c>
      <c r="H66" s="91">
        <f>IFERROR(G59/H59,"")</f>
        <v>0.52325581395348841</v>
      </c>
      <c r="I66" s="90" t="s">
        <v>147</v>
      </c>
      <c r="J66" s="75">
        <v>0.32</v>
      </c>
      <c r="K66" s="67" t="str">
        <f>K41</f>
        <v/>
      </c>
      <c r="L66" cm="1">
        <f t="array" ref="L66">IF(LEN(K66)=0,-1,SUMPRODUCT(((K44:K53=$K66)*(L44:L53&gt;M44:M53))+((N44:N53=$K66)*(M44:M53&gt;L44:L53))))</f>
        <v>-1</v>
      </c>
      <c r="M66" s="91" t="str">
        <f>IFERROR(L59/M59,"")</f>
        <v/>
      </c>
      <c r="N66" s="90"/>
      <c r="O66" s="75"/>
      <c r="P66" s="67" t="str">
        <f>P41</f>
        <v/>
      </c>
      <c r="Q66" cm="1">
        <f t="array" ref="Q66">IF(LEN(P66)=0,-1,SUMPRODUCT(((P44:P53=$P66)*(Q44:Q53&gt;R44:R53))+((S44:S53=$P66)*(R44:R53&gt;Q44:Q53))))</f>
        <v>-1</v>
      </c>
      <c r="R66" s="91" t="str">
        <f>IFERROR(Q59/R59,"")</f>
        <v/>
      </c>
      <c r="S66" s="90"/>
      <c r="T66" s="75"/>
      <c r="AF66" s="74" t="str" cm="1">
        <f t="array" ref="AF66:AG81">AD34:AE49</f>
        <v/>
      </c>
      <c r="AG66" s="75">
        <v>0</v>
      </c>
      <c r="AH66" s="76" t="str">
        <v/>
      </c>
      <c r="AI66" s="77">
        <v>0</v>
      </c>
      <c r="AJ66" t="str">
        <v/>
      </c>
    </row>
    <row r="67" spans="1:40" x14ac:dyDescent="0.25">
      <c r="A67" s="92" t="str">
        <f>A42</f>
        <v/>
      </c>
      <c r="B67" s="93" cm="1">
        <f t="array" ref="B67">IF(LEN(A67)=0,-1,SUMPRODUCT(((A44:A53=$A67)*(B44:B53&gt;C44:C53))+((D44:D53=$A67)*(C44:C53&gt;B44:B53))))</f>
        <v>-1</v>
      </c>
      <c r="C67" s="94" t="str">
        <f>IFERROR(B60/C60,"")</f>
        <v/>
      </c>
      <c r="D67" s="90"/>
      <c r="E67" s="75"/>
      <c r="F67" s="92" t="str">
        <f>F42</f>
        <v/>
      </c>
      <c r="G67" s="93" cm="1">
        <f t="array" ref="G67">IF(LEN(F67)=0,-1,SUMPRODUCT(((F44:F53=$F67)*(G44:G53&gt;H44:H53))+((I44:I53=$F67)*(H44:H53&gt;G44:G53))))</f>
        <v>-1</v>
      </c>
      <c r="H67" s="94" t="str">
        <f>IFERROR(G60/H60,"")</f>
        <v/>
      </c>
      <c r="I67" s="90"/>
      <c r="J67" s="75"/>
      <c r="K67" s="92" t="str">
        <f>K42</f>
        <v/>
      </c>
      <c r="L67" s="93" cm="1">
        <f t="array" ref="L67">IF(LEN(K67)=0,-1,SUMPRODUCT(((K44:K53=$K67)*(L44:L53&gt;M44:M53))+((N44:N53=$K67)*(M44:M53&gt;L44:L53))))</f>
        <v>-1</v>
      </c>
      <c r="M67" s="94" t="str">
        <f>IFERROR(L60/M60,"")</f>
        <v/>
      </c>
      <c r="N67" s="90"/>
      <c r="O67" s="75"/>
      <c r="P67" s="92" t="str">
        <f>P42</f>
        <v/>
      </c>
      <c r="Q67" s="93" cm="1">
        <f t="array" ref="Q67">IF(LEN(P67)=0,-1,SUMPRODUCT(((P44:P53=$P67)*(Q44:Q53&gt;R44:R53))+((S44:S53=$P67)*(R44:R53&gt;Q44:Q53))))</f>
        <v>-1</v>
      </c>
      <c r="R67" s="94" t="str">
        <f>IFERROR(Q60/R60,"")</f>
        <v/>
      </c>
      <c r="S67" s="90"/>
      <c r="T67" s="75"/>
      <c r="AF67" s="74" t="str">
        <v/>
      </c>
      <c r="AG67" s="75">
        <v>0</v>
      </c>
      <c r="AH67" s="76" t="str">
        <v/>
      </c>
      <c r="AI67" s="77">
        <v>0</v>
      </c>
      <c r="AJ67" t="str">
        <v/>
      </c>
    </row>
    <row r="68" spans="1:40" x14ac:dyDescent="0.25">
      <c r="A68" s="67" t="str" cm="1">
        <f t="array" ref="A68:C72">_xlfn.SORTBY(A63:C67,B63:B67,-1,C63:C67,-1)</f>
        <v>University of team 35</v>
      </c>
      <c r="B68">
        <v>3</v>
      </c>
      <c r="C68">
        <v>0.71875</v>
      </c>
      <c r="D68" s="89">
        <f>COUNTIF(B68:B72,B68)-1</f>
        <v>0</v>
      </c>
      <c r="E68" s="68"/>
      <c r="F68" s="67" t="str" cm="1">
        <f t="array" ref="F68:H72">_xlfn.SORTBY(F63:H67,G63:G67,-1,H63:H67,-1)</f>
        <v>University of team 9</v>
      </c>
      <c r="G68">
        <v>2</v>
      </c>
      <c r="H68">
        <v>0.66666666666666663</v>
      </c>
      <c r="I68" s="89">
        <f>COUNTIF(G68:G72,G68)-1</f>
        <v>1</v>
      </c>
      <c r="J68" s="68"/>
      <c r="K68" s="67" t="str" cm="1">
        <f t="array" ref="K68:M72">_xlfn.SORTBY(K63:M67,L63:L67,-1,M63:M67,-1)</f>
        <v/>
      </c>
      <c r="L68">
        <v>-1</v>
      </c>
      <c r="M68" t="str">
        <v/>
      </c>
      <c r="N68" s="89">
        <f>COUNTIF(L68:L72,L68)-1</f>
        <v>4</v>
      </c>
      <c r="O68" s="68"/>
      <c r="P68" s="67" t="str" cm="1">
        <f t="array" ref="P68:R72">_xlfn.SORTBY(P63:R67,Q63:Q67,-1,R63:R67,-1)</f>
        <v/>
      </c>
      <c r="Q68">
        <v>-1</v>
      </c>
      <c r="R68" t="str">
        <v/>
      </c>
      <c r="S68" s="89">
        <f>COUNTIF(Q68:Q72,Q68)-1</f>
        <v>4</v>
      </c>
      <c r="T68" s="68"/>
      <c r="AF68" s="74" t="str">
        <v/>
      </c>
      <c r="AG68" s="75">
        <v>0</v>
      </c>
      <c r="AH68" s="76" t="str">
        <v/>
      </c>
      <c r="AI68" s="77">
        <v>0</v>
      </c>
      <c r="AJ68" t="str">
        <v/>
      </c>
    </row>
    <row r="69" spans="1:40" x14ac:dyDescent="0.25">
      <c r="A69" s="67" t="str">
        <v>University of team 13</v>
      </c>
      <c r="B69">
        <v>2</v>
      </c>
      <c r="C69">
        <v>0.53921568627450978</v>
      </c>
      <c r="D69" s="91">
        <f>COUNTIF(B68:B72,B69)-1</f>
        <v>0</v>
      </c>
      <c r="E69" s="68"/>
      <c r="F69" s="67" t="str">
        <v>University of team 8</v>
      </c>
      <c r="G69">
        <v>2</v>
      </c>
      <c r="H69">
        <v>0.52325581395348841</v>
      </c>
      <c r="I69" s="91">
        <f>COUNTIF(G68:G72,G69)-1</f>
        <v>1</v>
      </c>
      <c r="J69" s="68"/>
      <c r="K69" s="67" t="str">
        <v/>
      </c>
      <c r="L69">
        <v>-1</v>
      </c>
      <c r="M69" t="str">
        <v/>
      </c>
      <c r="N69" s="91">
        <f>COUNTIF(L68:L72,L69)-1</f>
        <v>4</v>
      </c>
      <c r="O69" s="68"/>
      <c r="P69" s="67" t="str">
        <v/>
      </c>
      <c r="Q69">
        <v>-1</v>
      </c>
      <c r="R69" t="str">
        <v/>
      </c>
      <c r="S69" s="91">
        <f>COUNTIF(Q68:Q72,Q69)-1</f>
        <v>4</v>
      </c>
      <c r="T69" s="68"/>
      <c r="AF69" s="74" t="str">
        <v/>
      </c>
      <c r="AG69" s="75">
        <v>0</v>
      </c>
      <c r="AH69" s="76" t="str">
        <v/>
      </c>
      <c r="AI69" s="77">
        <v>0</v>
      </c>
      <c r="AJ69" t="str">
        <v/>
      </c>
    </row>
    <row r="70" spans="1:40" x14ac:dyDescent="0.25">
      <c r="A70" s="67" t="str">
        <v>University of team 18</v>
      </c>
      <c r="B70">
        <v>1</v>
      </c>
      <c r="C70">
        <v>0.49206349206349204</v>
      </c>
      <c r="D70" s="91">
        <f>COUNTIF(B68:B72,B70)-1</f>
        <v>0</v>
      </c>
      <c r="E70" s="68"/>
      <c r="F70" s="67" t="str">
        <v>University of team 21</v>
      </c>
      <c r="G70">
        <v>1</v>
      </c>
      <c r="H70">
        <v>0.48421052631578948</v>
      </c>
      <c r="I70" s="91">
        <f>COUNTIF(G68:G72,G70)-1</f>
        <v>1</v>
      </c>
      <c r="J70" s="68"/>
      <c r="K70" s="67" t="str">
        <v/>
      </c>
      <c r="L70">
        <v>-1</v>
      </c>
      <c r="M70" t="str">
        <v/>
      </c>
      <c r="N70" s="91">
        <f>COUNTIF(L68:L72,L70)-1</f>
        <v>4</v>
      </c>
      <c r="O70" s="68"/>
      <c r="P70" s="67" t="str">
        <v/>
      </c>
      <c r="Q70">
        <v>-1</v>
      </c>
      <c r="R70" t="str">
        <v/>
      </c>
      <c r="S70" s="91">
        <f>COUNTIF(Q68:Q72,Q70)-1</f>
        <v>4</v>
      </c>
      <c r="T70" s="68"/>
      <c r="AF70" s="74" t="str">
        <v/>
      </c>
      <c r="AG70" s="75">
        <v>0</v>
      </c>
      <c r="AH70" s="76" t="str">
        <v/>
      </c>
      <c r="AI70" s="77">
        <v>0</v>
      </c>
      <c r="AJ70" t="str">
        <v/>
      </c>
    </row>
    <row r="71" spans="1:40" x14ac:dyDescent="0.25">
      <c r="A71" s="67" t="str">
        <v>University of team 32</v>
      </c>
      <c r="B71">
        <v>0</v>
      </c>
      <c r="C71">
        <v>0.33962264150943394</v>
      </c>
      <c r="D71" s="91">
        <f>COUNTIF(B68:B72,B71)-1</f>
        <v>0</v>
      </c>
      <c r="E71" s="68"/>
      <c r="F71" s="67" t="str">
        <v>University of team 11</v>
      </c>
      <c r="G71">
        <v>1</v>
      </c>
      <c r="H71">
        <v>0.32</v>
      </c>
      <c r="I71" s="91">
        <f>COUNTIF(G68:G72,G71)-1</f>
        <v>1</v>
      </c>
      <c r="J71" s="68"/>
      <c r="K71" s="67" t="str">
        <v/>
      </c>
      <c r="L71">
        <v>-1</v>
      </c>
      <c r="M71" t="str">
        <v/>
      </c>
      <c r="N71" s="91">
        <f>COUNTIF(L68:L72,L71)-1</f>
        <v>4</v>
      </c>
      <c r="O71" s="68"/>
      <c r="P71" s="67" t="str">
        <v/>
      </c>
      <c r="Q71">
        <v>-1</v>
      </c>
      <c r="R71" t="str">
        <v/>
      </c>
      <c r="S71" s="91">
        <f>COUNTIF(Q68:Q72,Q71)-1</f>
        <v>4</v>
      </c>
      <c r="T71" s="68"/>
      <c r="AF71" s="74" t="str">
        <v/>
      </c>
      <c r="AG71" s="75">
        <v>0</v>
      </c>
      <c r="AH71" s="76" t="str">
        <v/>
      </c>
      <c r="AI71" s="77">
        <v>0</v>
      </c>
      <c r="AJ71" t="str">
        <v/>
      </c>
    </row>
    <row r="72" spans="1:40" ht="15.75" thickBot="1" x14ac:dyDescent="0.3">
      <c r="A72" s="95" t="str">
        <v/>
      </c>
      <c r="B72" s="96">
        <v>-1</v>
      </c>
      <c r="C72" s="96" t="str">
        <v/>
      </c>
      <c r="D72" s="97">
        <f>COUNTIF(B68:B72,B72)-1</f>
        <v>0</v>
      </c>
      <c r="E72" s="98"/>
      <c r="F72" s="95" t="str">
        <v/>
      </c>
      <c r="G72" s="96">
        <v>-1</v>
      </c>
      <c r="H72" s="96" t="str">
        <v/>
      </c>
      <c r="I72" s="97">
        <f>COUNTIF(G68:G72,G72)-1</f>
        <v>0</v>
      </c>
      <c r="J72" s="98"/>
      <c r="K72" s="95" t="str">
        <v/>
      </c>
      <c r="L72" s="96">
        <v>-1</v>
      </c>
      <c r="M72" s="96" t="str">
        <v/>
      </c>
      <c r="N72" s="97">
        <f>COUNTIF(L68:L72,L72)-1</f>
        <v>4</v>
      </c>
      <c r="O72" s="98"/>
      <c r="P72" s="95" t="str">
        <v/>
      </c>
      <c r="Q72" s="96">
        <v>-1</v>
      </c>
      <c r="R72" s="96" t="str">
        <v/>
      </c>
      <c r="S72" s="97">
        <f>COUNTIF(Q68:Q72,Q72)-1</f>
        <v>4</v>
      </c>
      <c r="T72" s="98"/>
      <c r="AF72" s="74" t="str">
        <v/>
      </c>
      <c r="AG72" s="75">
        <v>0</v>
      </c>
      <c r="AH72" s="76" t="str">
        <v/>
      </c>
      <c r="AI72" s="77">
        <v>0</v>
      </c>
      <c r="AJ72" t="str">
        <v/>
      </c>
    </row>
    <row r="73" spans="1:40" ht="15.75" thickTop="1" x14ac:dyDescent="0.25">
      <c r="A73" s="51" t="str">
        <f>'Teams in Pools'!A13</f>
        <v>Pool 3</v>
      </c>
      <c r="B73" s="52"/>
      <c r="C73" s="52"/>
      <c r="D73" s="52"/>
      <c r="E73" s="53"/>
      <c r="F73" s="51" t="str">
        <f>'Teams in Pools'!C13</f>
        <v>Pool 7</v>
      </c>
      <c r="G73" s="52"/>
      <c r="H73" s="52"/>
      <c r="I73" s="52"/>
      <c r="J73" s="53"/>
      <c r="K73" s="51">
        <f>'Teams in Pools'!E13</f>
        <v>0</v>
      </c>
      <c r="L73" s="52"/>
      <c r="M73" s="52"/>
      <c r="N73" s="52"/>
      <c r="O73" s="53"/>
      <c r="P73" s="51">
        <f>'Teams in Pools'!G13</f>
        <v>0</v>
      </c>
      <c r="Q73" s="52"/>
      <c r="R73" s="52"/>
      <c r="S73" s="52"/>
      <c r="T73" s="53"/>
      <c r="AF73" s="74" t="str">
        <v/>
      </c>
      <c r="AG73" s="75">
        <v>0</v>
      </c>
      <c r="AH73" s="76" t="str">
        <v/>
      </c>
      <c r="AI73" s="77">
        <v>0</v>
      </c>
      <c r="AJ73" t="str">
        <v/>
      </c>
    </row>
    <row r="74" spans="1:40" x14ac:dyDescent="0.25">
      <c r="A74" s="67" t="str">
        <f>IF(D74=0,"",D74)</f>
        <v>University of team 29</v>
      </c>
      <c r="D74" t="str" cm="1">
        <f t="array" ref="D74:D78">'Teams in Pools'!A14:A18</f>
        <v>University of team 29</v>
      </c>
      <c r="E74" s="68"/>
      <c r="F74" s="67" t="str">
        <f>IF(I74=0,"",I74)</f>
        <v>University of team 22</v>
      </c>
      <c r="I74" t="str" cm="1">
        <f t="array" ref="I74:I78">'Teams in Pools'!C14:C18</f>
        <v>University of team 22</v>
      </c>
      <c r="J74" s="68"/>
      <c r="K74" s="67" t="str">
        <f>IF(N74=0,"",N74)</f>
        <v/>
      </c>
      <c r="N74" cm="1">
        <f t="array" ref="N74:N78">'Teams in Pools'!E14:E18</f>
        <v>0</v>
      </c>
      <c r="O74" s="68"/>
      <c r="P74" s="67" t="str">
        <f>IF(S74=0,"",S74)</f>
        <v/>
      </c>
      <c r="S74" cm="1">
        <f t="array" ref="S74:S78">'Teams in Pools'!G14:G18</f>
        <v>0</v>
      </c>
      <c r="T74" s="68"/>
      <c r="AF74" s="74" t="str">
        <v/>
      </c>
      <c r="AG74" s="75">
        <v>0</v>
      </c>
      <c r="AH74" s="76" t="str">
        <v/>
      </c>
      <c r="AI74" s="77">
        <v>0</v>
      </c>
      <c r="AJ74" t="str">
        <v/>
      </c>
    </row>
    <row r="75" spans="1:40" x14ac:dyDescent="0.25">
      <c r="A75" s="67" t="str">
        <f t="shared" ref="A75:A78" si="8">IF(D75=0,"",D75)</f>
        <v>University of team 30</v>
      </c>
      <c r="D75" t="str">
        <v>University of team 30</v>
      </c>
      <c r="E75" s="68"/>
      <c r="F75" s="67" t="str">
        <f t="shared" ref="F75:F78" si="9">IF(I75=0,"",I75)</f>
        <v>University of team 26</v>
      </c>
      <c r="I75" t="str">
        <v>University of team 26</v>
      </c>
      <c r="J75" s="68"/>
      <c r="K75" s="67" t="str">
        <f t="shared" ref="K75:K78" si="10">IF(N75=0,"",N75)</f>
        <v/>
      </c>
      <c r="N75">
        <v>0</v>
      </c>
      <c r="O75" s="68"/>
      <c r="P75" s="67" t="str">
        <f t="shared" ref="P75:P78" si="11">IF(S75=0,"",S75)</f>
        <v/>
      </c>
      <c r="S75">
        <v>0</v>
      </c>
      <c r="T75" s="68"/>
      <c r="AF75" s="74" t="str">
        <v/>
      </c>
      <c r="AG75" s="75">
        <v>0</v>
      </c>
      <c r="AH75" s="76" t="str">
        <v/>
      </c>
      <c r="AI75" s="77">
        <v>0</v>
      </c>
      <c r="AJ75" t="str">
        <v/>
      </c>
    </row>
    <row r="76" spans="1:40" x14ac:dyDescent="0.25">
      <c r="A76" s="67" t="str">
        <f t="shared" si="8"/>
        <v>University of team 28</v>
      </c>
      <c r="D76" t="str">
        <v>University of team 28</v>
      </c>
      <c r="E76" s="68"/>
      <c r="F76" s="67" t="str">
        <f t="shared" si="9"/>
        <v>University of team 24</v>
      </c>
      <c r="I76" t="str">
        <v>University of team 24</v>
      </c>
      <c r="J76" s="68"/>
      <c r="K76" s="67" t="str">
        <f t="shared" si="10"/>
        <v/>
      </c>
      <c r="N76">
        <v>0</v>
      </c>
      <c r="O76" s="68"/>
      <c r="P76" s="67" t="str">
        <f t="shared" si="11"/>
        <v/>
      </c>
      <c r="S76">
        <v>0</v>
      </c>
      <c r="T76" s="68"/>
      <c r="AF76" s="74" t="str">
        <v/>
      </c>
      <c r="AG76" s="75">
        <v>0</v>
      </c>
      <c r="AH76" s="76" t="str">
        <v/>
      </c>
      <c r="AI76" s="77">
        <v>0</v>
      </c>
      <c r="AJ76" t="str">
        <v/>
      </c>
    </row>
    <row r="77" spans="1:40" x14ac:dyDescent="0.25">
      <c r="A77" s="67" t="str">
        <f t="shared" si="8"/>
        <v>University of team 27</v>
      </c>
      <c r="D77" t="str">
        <v>University of team 27</v>
      </c>
      <c r="E77" s="68"/>
      <c r="F77" s="67" t="str">
        <f t="shared" si="9"/>
        <v>University of team 17</v>
      </c>
      <c r="I77" t="str">
        <v>University of team 17</v>
      </c>
      <c r="J77" s="68"/>
      <c r="K77" s="67" t="str">
        <f t="shared" si="10"/>
        <v/>
      </c>
      <c r="N77">
        <v>0</v>
      </c>
      <c r="O77" s="68"/>
      <c r="P77" s="67" t="str">
        <f t="shared" si="11"/>
        <v/>
      </c>
      <c r="S77">
        <v>0</v>
      </c>
      <c r="T77" s="68"/>
      <c r="AF77" s="74" t="str">
        <v/>
      </c>
      <c r="AG77" s="75">
        <v>0</v>
      </c>
      <c r="AH77" s="76" t="str">
        <v/>
      </c>
      <c r="AI77" s="77">
        <v>0</v>
      </c>
      <c r="AJ77" t="str">
        <v/>
      </c>
    </row>
    <row r="78" spans="1:40" x14ac:dyDescent="0.25">
      <c r="A78" s="67" t="str">
        <f t="shared" si="8"/>
        <v/>
      </c>
      <c r="D78">
        <v>0</v>
      </c>
      <c r="E78" s="68"/>
      <c r="F78" s="67" t="str">
        <f t="shared" si="9"/>
        <v/>
      </c>
      <c r="I78">
        <v>0</v>
      </c>
      <c r="J78" s="68"/>
      <c r="K78" s="67" t="str">
        <f t="shared" si="10"/>
        <v/>
      </c>
      <c r="N78">
        <v>0</v>
      </c>
      <c r="O78" s="68"/>
      <c r="P78" s="67" t="str">
        <f t="shared" si="11"/>
        <v/>
      </c>
      <c r="S78">
        <v>0</v>
      </c>
      <c r="T78" s="68"/>
      <c r="AF78" s="74" t="str">
        <v/>
      </c>
      <c r="AG78" s="75">
        <v>0</v>
      </c>
      <c r="AH78" s="76" t="str">
        <v/>
      </c>
      <c r="AI78" s="77">
        <v>0</v>
      </c>
      <c r="AJ78" t="str">
        <v/>
      </c>
    </row>
    <row r="79" spans="1:40" x14ac:dyDescent="0.25">
      <c r="A79" s="67"/>
      <c r="E79" s="68"/>
      <c r="F79" s="67"/>
      <c r="J79" s="68"/>
      <c r="K79" s="67"/>
      <c r="O79" s="68"/>
      <c r="P79" s="67"/>
      <c r="T79" s="68"/>
      <c r="AF79" s="74" t="str">
        <v/>
      </c>
      <c r="AG79" s="75">
        <v>0</v>
      </c>
      <c r="AH79" s="76" t="str">
        <v/>
      </c>
      <c r="AI79" s="77">
        <v>0</v>
      </c>
      <c r="AJ79" t="str">
        <v/>
      </c>
    </row>
    <row r="80" spans="1:40" x14ac:dyDescent="0.25">
      <c r="A80" s="67" t="str">
        <f>A74</f>
        <v>University of team 29</v>
      </c>
      <c r="B80">
        <v>12</v>
      </c>
      <c r="C80">
        <v>5</v>
      </c>
      <c r="D80" t="str">
        <f>A75</f>
        <v>University of team 30</v>
      </c>
      <c r="E80" s="68"/>
      <c r="F80" s="67" t="str">
        <f>F74</f>
        <v>University of team 22</v>
      </c>
      <c r="G80">
        <v>12</v>
      </c>
      <c r="H80">
        <v>5</v>
      </c>
      <c r="I80" t="str">
        <f>F75</f>
        <v>University of team 26</v>
      </c>
      <c r="J80" s="68"/>
      <c r="K80" s="67" t="str">
        <f>K74</f>
        <v/>
      </c>
      <c r="N80" t="str">
        <f>K75</f>
        <v/>
      </c>
      <c r="O80" s="68"/>
      <c r="P80" s="67" t="str">
        <f>P74</f>
        <v/>
      </c>
      <c r="S80" t="str">
        <f>P75</f>
        <v/>
      </c>
      <c r="T80" s="68"/>
      <c r="AF80" s="74" t="str">
        <v/>
      </c>
      <c r="AG80" s="75">
        <v>0</v>
      </c>
      <c r="AH80" s="76" t="str">
        <v/>
      </c>
      <c r="AI80" s="77">
        <v>0</v>
      </c>
      <c r="AJ80" t="str">
        <v/>
      </c>
    </row>
    <row r="81" spans="1:36" ht="15.75" thickBot="1" x14ac:dyDescent="0.3">
      <c r="A81" s="67" t="str">
        <f>A74</f>
        <v>University of team 29</v>
      </c>
      <c r="B81">
        <v>9</v>
      </c>
      <c r="C81">
        <v>21</v>
      </c>
      <c r="D81" t="str">
        <f>A76</f>
        <v>University of team 28</v>
      </c>
      <c r="E81" s="68"/>
      <c r="F81" s="67" t="str">
        <f>F74</f>
        <v>University of team 22</v>
      </c>
      <c r="G81">
        <v>20</v>
      </c>
      <c r="H81">
        <v>4</v>
      </c>
      <c r="I81" t="str">
        <f>F76</f>
        <v>University of team 24</v>
      </c>
      <c r="J81" s="68"/>
      <c r="K81" s="67" t="str">
        <f>K74</f>
        <v/>
      </c>
      <c r="N81" t="str">
        <f>K76</f>
        <v/>
      </c>
      <c r="O81" s="68"/>
      <c r="P81" s="67" t="str">
        <f>P74</f>
        <v/>
      </c>
      <c r="S81" t="str">
        <f>P76</f>
        <v/>
      </c>
      <c r="T81" s="68"/>
      <c r="AF81" s="108" t="str">
        <v/>
      </c>
      <c r="AG81" s="109">
        <v>0</v>
      </c>
      <c r="AH81" s="110" t="str">
        <v/>
      </c>
      <c r="AI81" s="111">
        <v>0</v>
      </c>
      <c r="AJ81" t="str">
        <v/>
      </c>
    </row>
    <row r="82" spans="1:36" ht="15.75" thickTop="1" x14ac:dyDescent="0.25">
      <c r="A82" s="67" t="str">
        <f>A74</f>
        <v>University of team 29</v>
      </c>
      <c r="B82">
        <v>15</v>
      </c>
      <c r="C82">
        <v>20</v>
      </c>
      <c r="D82" t="str">
        <f>A77</f>
        <v>University of team 27</v>
      </c>
      <c r="E82" s="68"/>
      <c r="F82" s="67" t="str">
        <f>F74</f>
        <v>University of team 22</v>
      </c>
      <c r="G82">
        <v>17</v>
      </c>
      <c r="H82">
        <v>6</v>
      </c>
      <c r="I82" t="str">
        <f>F77</f>
        <v>University of team 17</v>
      </c>
      <c r="J82" s="68"/>
      <c r="K82" s="67" t="str">
        <f>K74</f>
        <v/>
      </c>
      <c r="N82" t="str">
        <f>K77</f>
        <v/>
      </c>
      <c r="O82" s="68"/>
      <c r="P82" s="67" t="str">
        <f>P74</f>
        <v/>
      </c>
      <c r="S82" t="str">
        <f>P77</f>
        <v/>
      </c>
      <c r="T82" s="68"/>
    </row>
    <row r="83" spans="1:36" x14ac:dyDescent="0.25">
      <c r="A83" s="67" t="str">
        <f>A74</f>
        <v>University of team 29</v>
      </c>
      <c r="D83" t="str">
        <f>A78</f>
        <v/>
      </c>
      <c r="E83" s="68"/>
      <c r="F83" s="67" t="str">
        <f>F74</f>
        <v>University of team 22</v>
      </c>
      <c r="I83" t="str">
        <f>F78</f>
        <v/>
      </c>
      <c r="J83" s="68"/>
      <c r="K83" s="67" t="str">
        <f>K74</f>
        <v/>
      </c>
      <c r="N83" t="str">
        <f>K78</f>
        <v/>
      </c>
      <c r="O83" s="68"/>
      <c r="P83" s="67" t="str">
        <f>P74</f>
        <v/>
      </c>
      <c r="S83" t="str">
        <f>P78</f>
        <v/>
      </c>
      <c r="T83" s="68"/>
    </row>
    <row r="84" spans="1:36" x14ac:dyDescent="0.25">
      <c r="A84" s="67" t="str">
        <f>A75</f>
        <v>University of team 30</v>
      </c>
      <c r="B84">
        <v>4</v>
      </c>
      <c r="C84">
        <v>24</v>
      </c>
      <c r="D84" t="str">
        <f>A76</f>
        <v>University of team 28</v>
      </c>
      <c r="E84" s="68"/>
      <c r="F84" s="67" t="str">
        <f>F75</f>
        <v>University of team 26</v>
      </c>
      <c r="G84">
        <v>21</v>
      </c>
      <c r="H84">
        <v>6</v>
      </c>
      <c r="I84" t="str">
        <f>F76</f>
        <v>University of team 24</v>
      </c>
      <c r="J84" s="68"/>
      <c r="K84" s="67" t="str">
        <f>K75</f>
        <v/>
      </c>
      <c r="N84" t="str">
        <f>K76</f>
        <v/>
      </c>
      <c r="O84" s="68"/>
      <c r="P84" s="67" t="str">
        <f>P75</f>
        <v/>
      </c>
      <c r="S84" t="str">
        <f>P76</f>
        <v/>
      </c>
      <c r="T84" s="68"/>
    </row>
    <row r="85" spans="1:36" x14ac:dyDescent="0.25">
      <c r="A85" s="67" t="str">
        <f>A75</f>
        <v>University of team 30</v>
      </c>
      <c r="B85">
        <v>16</v>
      </c>
      <c r="C85">
        <v>5</v>
      </c>
      <c r="D85" t="str">
        <f>A77</f>
        <v>University of team 27</v>
      </c>
      <c r="E85" s="68"/>
      <c r="F85" s="67" t="str">
        <f>F75</f>
        <v>University of team 26</v>
      </c>
      <c r="G85">
        <v>24</v>
      </c>
      <c r="H85">
        <v>3</v>
      </c>
      <c r="I85" t="str">
        <f>F77</f>
        <v>University of team 17</v>
      </c>
      <c r="J85" s="68"/>
      <c r="K85" s="67" t="str">
        <f>K75</f>
        <v/>
      </c>
      <c r="N85" t="str">
        <f>K77</f>
        <v/>
      </c>
      <c r="O85" s="68"/>
      <c r="P85" s="67" t="str">
        <f>P75</f>
        <v/>
      </c>
      <c r="S85" t="str">
        <f>P77</f>
        <v/>
      </c>
      <c r="T85" s="68"/>
    </row>
    <row r="86" spans="1:36" x14ac:dyDescent="0.25">
      <c r="A86" s="67" t="str">
        <f>A75</f>
        <v>University of team 30</v>
      </c>
      <c r="D86" t="str">
        <f>A78</f>
        <v/>
      </c>
      <c r="E86" s="68"/>
      <c r="F86" s="67" t="str">
        <f>F75</f>
        <v>University of team 26</v>
      </c>
      <c r="I86" t="str">
        <f>F78</f>
        <v/>
      </c>
      <c r="J86" s="68"/>
      <c r="K86" s="67" t="str">
        <f>K75</f>
        <v/>
      </c>
      <c r="N86" t="str">
        <f>K78</f>
        <v/>
      </c>
      <c r="O86" s="68"/>
      <c r="P86" s="67" t="str">
        <f>P75</f>
        <v/>
      </c>
      <c r="S86" t="str">
        <f>P78</f>
        <v/>
      </c>
      <c r="T86" s="68"/>
    </row>
    <row r="87" spans="1:36" x14ac:dyDescent="0.25">
      <c r="A87" s="67" t="str">
        <f>A76</f>
        <v>University of team 28</v>
      </c>
      <c r="B87">
        <v>10</v>
      </c>
      <c r="C87">
        <v>15</v>
      </c>
      <c r="D87" t="str">
        <f>A77</f>
        <v>University of team 27</v>
      </c>
      <c r="E87" s="68"/>
      <c r="F87" s="67" t="str">
        <f>F76</f>
        <v>University of team 24</v>
      </c>
      <c r="G87">
        <v>24</v>
      </c>
      <c r="H87">
        <v>2</v>
      </c>
      <c r="I87" t="str">
        <f>F77</f>
        <v>University of team 17</v>
      </c>
      <c r="J87" s="68"/>
      <c r="K87" s="67" t="str">
        <f>K76</f>
        <v/>
      </c>
      <c r="N87" t="str">
        <f>K77</f>
        <v/>
      </c>
      <c r="O87" s="68"/>
      <c r="P87" s="67" t="str">
        <f>P76</f>
        <v/>
      </c>
      <c r="S87" t="str">
        <f>P77</f>
        <v/>
      </c>
      <c r="T87" s="68"/>
    </row>
    <row r="88" spans="1:36" x14ac:dyDescent="0.25">
      <c r="A88" s="67" t="str">
        <f>A76</f>
        <v>University of team 28</v>
      </c>
      <c r="D88" t="str">
        <f>A78</f>
        <v/>
      </c>
      <c r="E88" s="68"/>
      <c r="F88" s="67" t="str">
        <f>F76</f>
        <v>University of team 24</v>
      </c>
      <c r="I88" t="str">
        <f>F78</f>
        <v/>
      </c>
      <c r="J88" s="68"/>
      <c r="K88" s="67" t="str">
        <f>K76</f>
        <v/>
      </c>
      <c r="N88" t="str">
        <f>K78</f>
        <v/>
      </c>
      <c r="O88" s="68"/>
      <c r="P88" s="67" t="str">
        <f>P76</f>
        <v/>
      </c>
      <c r="S88" t="str">
        <f>P78</f>
        <v/>
      </c>
      <c r="T88" s="68"/>
    </row>
    <row r="89" spans="1:36" x14ac:dyDescent="0.25">
      <c r="A89" s="67" t="str">
        <f>A77</f>
        <v>University of team 27</v>
      </c>
      <c r="D89" t="str">
        <f>A78</f>
        <v/>
      </c>
      <c r="E89" s="68"/>
      <c r="F89" s="67" t="str">
        <f>F77</f>
        <v>University of team 17</v>
      </c>
      <c r="I89" t="str">
        <f>F78</f>
        <v/>
      </c>
      <c r="J89" s="68"/>
      <c r="K89" s="67" t="str">
        <f>K77</f>
        <v/>
      </c>
      <c r="N89" t="str">
        <f>K78</f>
        <v/>
      </c>
      <c r="O89" s="68"/>
      <c r="P89" s="67" t="str">
        <f>P77</f>
        <v/>
      </c>
      <c r="S89" t="str">
        <f>P78</f>
        <v/>
      </c>
      <c r="T89" s="68"/>
    </row>
    <row r="90" spans="1:36" x14ac:dyDescent="0.25">
      <c r="A90" s="67"/>
      <c r="E90" s="68"/>
      <c r="F90" s="67"/>
      <c r="J90" s="68"/>
      <c r="K90" s="67"/>
      <c r="O90" s="68"/>
      <c r="P90" s="67"/>
      <c r="T90" s="68"/>
    </row>
    <row r="91" spans="1:36" x14ac:dyDescent="0.25">
      <c r="A91" s="67"/>
      <c r="B91" t="s">
        <v>19</v>
      </c>
      <c r="C91" t="s">
        <v>20</v>
      </c>
      <c r="E91" s="68"/>
      <c r="F91" s="67"/>
      <c r="G91" t="s">
        <v>19</v>
      </c>
      <c r="H91" t="s">
        <v>20</v>
      </c>
      <c r="J91" s="68"/>
      <c r="K91" s="67"/>
      <c r="L91" t="s">
        <v>19</v>
      </c>
      <c r="M91" t="s">
        <v>20</v>
      </c>
      <c r="O91" s="68"/>
      <c r="P91" s="67"/>
      <c r="Q91" t="s">
        <v>19</v>
      </c>
      <c r="R91" t="s">
        <v>20</v>
      </c>
      <c r="T91" s="68"/>
    </row>
    <row r="92" spans="1:36" x14ac:dyDescent="0.25">
      <c r="A92" s="67" t="str">
        <f>A74</f>
        <v>University of team 29</v>
      </c>
      <c r="B92">
        <f>B80+B81+B82+B83</f>
        <v>36</v>
      </c>
      <c r="C92">
        <f>C80+C81+C82+C83+B83+B82+B81+B80</f>
        <v>82</v>
      </c>
      <c r="E92" s="68"/>
      <c r="F92" s="67" t="str">
        <f>F74</f>
        <v>University of team 22</v>
      </c>
      <c r="G92">
        <f>G80+G81+G82+G83</f>
        <v>49</v>
      </c>
      <c r="H92">
        <f>H80+H81+H82+H83+G83+G82+G81+G80</f>
        <v>64</v>
      </c>
      <c r="J92" s="68"/>
      <c r="K92" s="67" t="str">
        <f>K74</f>
        <v/>
      </c>
      <c r="L92">
        <f>L80+L81+L82+L83</f>
        <v>0</v>
      </c>
      <c r="M92">
        <f>M80+M81+M82+M83+L83+L82+L81+L80</f>
        <v>0</v>
      </c>
      <c r="O92" s="68"/>
      <c r="P92" s="67" t="str">
        <f>P74</f>
        <v/>
      </c>
      <c r="Q92">
        <f>Q80+Q81+Q82+Q83</f>
        <v>0</v>
      </c>
      <c r="R92">
        <f>R80+R81+R82+R83+Q83+Q82+Q81+Q80</f>
        <v>0</v>
      </c>
      <c r="T92" s="68"/>
    </row>
    <row r="93" spans="1:36" x14ac:dyDescent="0.25">
      <c r="A93" s="67" t="str">
        <f>A75</f>
        <v>University of team 30</v>
      </c>
      <c r="B93">
        <f>B84+B85+B86+C80</f>
        <v>25</v>
      </c>
      <c r="C93">
        <f>B84+B85+B86+C84+C85+C86+C80+B80</f>
        <v>66</v>
      </c>
      <c r="E93" s="68"/>
      <c r="F93" s="67" t="str">
        <f>F75</f>
        <v>University of team 26</v>
      </c>
      <c r="G93">
        <f>G84+G85+G86+H80</f>
        <v>50</v>
      </c>
      <c r="H93">
        <f>G84+G85+G86+H84+H85+H86+H80+G80</f>
        <v>71</v>
      </c>
      <c r="J93" s="68"/>
      <c r="K93" s="67" t="str">
        <f>K75</f>
        <v/>
      </c>
      <c r="L93">
        <f>L84+L85+L86+M80</f>
        <v>0</v>
      </c>
      <c r="M93">
        <f>L84+L85+L86+M84+M85+M86+M80+L80</f>
        <v>0</v>
      </c>
      <c r="O93" s="68"/>
      <c r="P93" s="67" t="str">
        <f>P75</f>
        <v/>
      </c>
      <c r="Q93">
        <f>Q84+Q85+Q86+R80</f>
        <v>0</v>
      </c>
      <c r="R93">
        <f>Q84+Q85+Q86+R84+R85+R86+R80+Q80</f>
        <v>0</v>
      </c>
      <c r="T93" s="68"/>
    </row>
    <row r="94" spans="1:36" x14ac:dyDescent="0.25">
      <c r="A94" s="67" t="str">
        <f>A76</f>
        <v>University of team 28</v>
      </c>
      <c r="B94">
        <f>B87+B88+C84+C81</f>
        <v>55</v>
      </c>
      <c r="C94">
        <f>B87+B88+C81+C84+C87+C88+B84+B81</f>
        <v>83</v>
      </c>
      <c r="E94" s="68"/>
      <c r="F94" s="67" t="str">
        <f>F76</f>
        <v>University of team 24</v>
      </c>
      <c r="G94">
        <f>G87+G88+H84+H81</f>
        <v>34</v>
      </c>
      <c r="H94">
        <f>G87+G88+H81+H84+H87+H88+G84+G81</f>
        <v>77</v>
      </c>
      <c r="J94" s="68"/>
      <c r="K94" s="67" t="str">
        <f>K76</f>
        <v/>
      </c>
      <c r="L94">
        <f>L87+L88+M84+M81</f>
        <v>0</v>
      </c>
      <c r="M94">
        <f>L87+L88+M81+M84+M87+M88+L84+L81</f>
        <v>0</v>
      </c>
      <c r="O94" s="68"/>
      <c r="P94" s="67" t="str">
        <f>P76</f>
        <v/>
      </c>
      <c r="Q94">
        <f>Q87+Q88+R84+R81</f>
        <v>0</v>
      </c>
      <c r="R94">
        <f>Q87+Q88+R81+R84+R87+R88+Q84+Q81</f>
        <v>0</v>
      </c>
      <c r="T94" s="68"/>
    </row>
    <row r="95" spans="1:36" x14ac:dyDescent="0.25">
      <c r="A95" s="67" t="str">
        <f>A77</f>
        <v>University of team 27</v>
      </c>
      <c r="B95">
        <f>B89+C82+C85+C87</f>
        <v>40</v>
      </c>
      <c r="C95">
        <f>B89+C82+C85+C87+B87+C89+B85+B82</f>
        <v>81</v>
      </c>
      <c r="E95" s="68"/>
      <c r="F95" s="67" t="str">
        <f>F77</f>
        <v>University of team 17</v>
      </c>
      <c r="G95">
        <f>G89+H82+H85+H87</f>
        <v>11</v>
      </c>
      <c r="H95">
        <f>G89+H82+H85+H87+G87+H89+G85+G82</f>
        <v>76</v>
      </c>
      <c r="J95" s="68"/>
      <c r="K95" s="67" t="str">
        <f>K77</f>
        <v/>
      </c>
      <c r="L95">
        <f>L89+M82+M85+M87</f>
        <v>0</v>
      </c>
      <c r="M95">
        <f>L89+M82+M85+M87+L87+M89+L85+L82</f>
        <v>0</v>
      </c>
      <c r="O95" s="68"/>
      <c r="P95" s="67" t="str">
        <f>P77</f>
        <v/>
      </c>
      <c r="Q95">
        <f>Q89+R82+R85+R87</f>
        <v>0</v>
      </c>
      <c r="R95">
        <f>Q89+R82+R85+R87+Q87+R89+Q85+Q82</f>
        <v>0</v>
      </c>
      <c r="T95" s="68"/>
    </row>
    <row r="96" spans="1:36" x14ac:dyDescent="0.25">
      <c r="A96" s="67" t="str">
        <f>A78</f>
        <v/>
      </c>
      <c r="B96">
        <f>C89+C88+C86+C83</f>
        <v>0</v>
      </c>
      <c r="C96">
        <f>C89+C88+C86+C83+B83+B86+B88+B89</f>
        <v>0</v>
      </c>
      <c r="E96" s="68"/>
      <c r="F96" s="67" t="str">
        <f>F78</f>
        <v/>
      </c>
      <c r="G96">
        <f>H89+H88+H86+H83</f>
        <v>0</v>
      </c>
      <c r="H96">
        <f>H89+H88+H86+H83+G83+G86+G88+G89</f>
        <v>0</v>
      </c>
      <c r="J96" s="68"/>
      <c r="K96" s="67" t="str">
        <f>K78</f>
        <v/>
      </c>
      <c r="L96">
        <f>M89+M88+M86+M83</f>
        <v>0</v>
      </c>
      <c r="M96">
        <f>M89+M88+M86+M83+L83+L86+L88+L89</f>
        <v>0</v>
      </c>
      <c r="O96" s="68"/>
      <c r="P96" s="67" t="str">
        <f>P78</f>
        <v/>
      </c>
      <c r="Q96">
        <f>R89+R88+R86+R83</f>
        <v>0</v>
      </c>
      <c r="R96">
        <f>R89+R88+R86+R83+Q83+Q86+Q88+Q89</f>
        <v>0</v>
      </c>
      <c r="T96" s="68"/>
    </row>
    <row r="97" spans="1:20" x14ac:dyDescent="0.25">
      <c r="A97" s="67"/>
      <c r="E97" s="68"/>
      <c r="F97" s="67"/>
      <c r="J97" s="68"/>
      <c r="K97" s="67"/>
      <c r="O97" s="68"/>
      <c r="P97" s="67"/>
      <c r="T97" s="68"/>
    </row>
    <row r="98" spans="1:20" x14ac:dyDescent="0.25">
      <c r="A98" s="67"/>
      <c r="B98" t="s">
        <v>17</v>
      </c>
      <c r="C98" t="s">
        <v>18</v>
      </c>
      <c r="E98" s="68" t="s">
        <v>18</v>
      </c>
      <c r="F98" s="67"/>
      <c r="G98" t="s">
        <v>17</v>
      </c>
      <c r="H98" t="s">
        <v>18</v>
      </c>
      <c r="J98" s="68" t="s">
        <v>18</v>
      </c>
      <c r="K98" s="67"/>
      <c r="L98" t="s">
        <v>17</v>
      </c>
      <c r="M98" t="s">
        <v>18</v>
      </c>
      <c r="O98" s="68" t="s">
        <v>18</v>
      </c>
      <c r="P98" s="67"/>
      <c r="Q98" t="s">
        <v>17</v>
      </c>
      <c r="R98" t="s">
        <v>18</v>
      </c>
      <c r="T98" s="68" t="s">
        <v>18</v>
      </c>
    </row>
    <row r="99" spans="1:20" x14ac:dyDescent="0.25">
      <c r="A99" s="87" t="str">
        <f>A74</f>
        <v>University of team 29</v>
      </c>
      <c r="B99" s="88" cm="1">
        <f t="array" ref="B99">IF(LEN(A99)=0,-1,SUMPRODUCT(((A80:A89=$A99)*(B80:B89&gt;C80:C89))+((D80:D89=$A99)*(C80:C89&gt;B80:B89))))</f>
        <v>1</v>
      </c>
      <c r="C99" s="89">
        <f>IFERROR(B92/C92,"")</f>
        <v>0.43902439024390244</v>
      </c>
      <c r="D99" s="90" t="s">
        <v>163</v>
      </c>
      <c r="E99" s="75">
        <v>0.49382716049382713</v>
      </c>
      <c r="F99" s="87" t="str">
        <f>F74</f>
        <v>University of team 22</v>
      </c>
      <c r="G99" s="88" cm="1">
        <f t="array" ref="G99">IF(LEN(F99)=0,-1,SUMPRODUCT(((F80:F89=$F99)*(G80:G89&gt;H80:H89))+((I80:I89=$F99)*(H80:H89&gt;G80:G89))))</f>
        <v>3</v>
      </c>
      <c r="H99" s="89">
        <f>IFERROR(G92/H92,"")</f>
        <v>0.765625</v>
      </c>
      <c r="I99" s="90" t="s">
        <v>158</v>
      </c>
      <c r="J99" s="75">
        <v>0.765625</v>
      </c>
      <c r="K99" s="87" t="str">
        <f>K74</f>
        <v/>
      </c>
      <c r="L99" s="88" cm="1">
        <f t="array" ref="L99">IF(LEN(K99)=0,-1,SUMPRODUCT(((K80:K89=$K99)*(L80:L89&gt;M80:M89))+((N80:N89=$K99)*(M80:M89&gt;L80:L89))))</f>
        <v>-1</v>
      </c>
      <c r="M99" s="89" t="str">
        <f>IFERROR(L92/M92,"")</f>
        <v/>
      </c>
      <c r="N99" s="90"/>
      <c r="O99" s="75"/>
      <c r="P99" s="87" t="str">
        <f>P74</f>
        <v/>
      </c>
      <c r="Q99" s="88" cm="1">
        <f t="array" ref="Q99">IF(LEN(P99)=0,-1,SUMPRODUCT(((P80:P89=$P99)*(Q80:Q89&gt;R80:R89))+((S80:S89=$P99)*(R80:R89&gt;Q80:Q89))))</f>
        <v>-1</v>
      </c>
      <c r="R99" s="89" t="str">
        <f>IFERROR(Q92/R92,"")</f>
        <v/>
      </c>
      <c r="S99" s="90"/>
      <c r="T99" s="75"/>
    </row>
    <row r="100" spans="1:20" x14ac:dyDescent="0.25">
      <c r="A100" s="67" t="str">
        <f>A75</f>
        <v>University of team 30</v>
      </c>
      <c r="B100" cm="1">
        <f t="array" ref="B100">IF(LEN(A100)=0,-1,SUMPRODUCT(((A80:A89=$A100)*(B80:B89&gt;C80:C89))+((D80:D89=$A100)*(C80:C89&gt;B80:B89))))</f>
        <v>1</v>
      </c>
      <c r="C100" s="91">
        <f>IFERROR(B93/C93,"")</f>
        <v>0.37878787878787878</v>
      </c>
      <c r="D100" s="90" t="s">
        <v>164</v>
      </c>
      <c r="E100" s="75">
        <v>0.66265060240963858</v>
      </c>
      <c r="F100" s="67" t="str">
        <f>F75</f>
        <v>University of team 26</v>
      </c>
      <c r="G100" cm="1">
        <f t="array" ref="G100">IF(LEN(F100)=0,"-1",SUMPRODUCT(((F80:F89=$F100)*(G80:G89&gt;H80:H89))+((I80:I89=$F100)*(H80:H89&gt;G80:G89))))</f>
        <v>2</v>
      </c>
      <c r="H100" s="91">
        <f>IFERROR(G93/H93,"")</f>
        <v>0.70422535211267601</v>
      </c>
      <c r="I100" s="90" t="s">
        <v>162</v>
      </c>
      <c r="J100" s="75">
        <v>0.70422535211267601</v>
      </c>
      <c r="K100" s="67" t="str">
        <f>K75</f>
        <v/>
      </c>
      <c r="L100" cm="1">
        <f t="array" ref="L100">IF(LEN(K100)=0,-1,SUMPRODUCT(((K80:K89=$K100)*(L80:L89&gt;M80:M89))+((N80:N89=$K100)*(M80:M89&gt;L80:L89))))</f>
        <v>-1</v>
      </c>
      <c r="M100" s="91" t="str">
        <f>IFERROR(L93/M93,"")</f>
        <v/>
      </c>
      <c r="N100" s="90"/>
      <c r="O100" s="75"/>
      <c r="P100" s="67" t="str">
        <f>P75</f>
        <v/>
      </c>
      <c r="Q100" cm="1">
        <f t="array" ref="Q100">IF(LEN(P100)=0,-1,SUMPRODUCT(((P80:P89=$P100)*(Q80:Q89&gt;R80:R89))+((S80:S89=$P100)*(R80:R89&gt;Q80:Q89))))</f>
        <v>-1</v>
      </c>
      <c r="R100" s="91" t="str">
        <f>IFERROR(Q93/R93,"")</f>
        <v/>
      </c>
      <c r="S100" s="90"/>
      <c r="T100" s="75"/>
    </row>
    <row r="101" spans="1:20" x14ac:dyDescent="0.25">
      <c r="A101" s="67" t="str">
        <f>A76</f>
        <v>University of team 28</v>
      </c>
      <c r="B101" cm="1">
        <f t="array" ref="B101">IF(LEN(A101)=0,-1,SUMPRODUCT(((A80:A89=$A101)*(B80:B89&gt;C80:C89))+((D80:D89=$A101)*(C80:C89&gt;B80:B89))))</f>
        <v>2</v>
      </c>
      <c r="C101" s="91">
        <f>IFERROR(B94/C94,"")</f>
        <v>0.66265060240963858</v>
      </c>
      <c r="D101" s="90" t="s">
        <v>165</v>
      </c>
      <c r="E101" s="75">
        <v>0.43902439024390244</v>
      </c>
      <c r="F101" s="67" t="str">
        <f>F76</f>
        <v>University of team 24</v>
      </c>
      <c r="G101" cm="1">
        <f t="array" ref="G101">IF(LEN(F101)=0,-1,SUMPRODUCT(((F80:F89=$F101)*(G80:G89&gt;H80:H89))+((I80:I89=$F101)*(H80:H89&gt;G80:G89))))</f>
        <v>1</v>
      </c>
      <c r="H101" s="91">
        <f>IFERROR(G94/H94,"")</f>
        <v>0.44155844155844154</v>
      </c>
      <c r="I101" s="90" t="s">
        <v>160</v>
      </c>
      <c r="J101" s="75">
        <v>0.44155844155844154</v>
      </c>
      <c r="K101" s="67" t="str">
        <f>K76</f>
        <v/>
      </c>
      <c r="L101" cm="1">
        <f t="array" ref="L101">IF(LEN(K101)=0,-1,SUMPRODUCT(((K80:K89=$K101)*(L80:L89&gt;M80:M89))+((N80:N89=$K101)*(M80:M89&gt;L80:L89))))</f>
        <v>-1</v>
      </c>
      <c r="M101" s="91" t="str">
        <f>IFERROR(L94/M94,"")</f>
        <v/>
      </c>
      <c r="N101" s="90"/>
      <c r="O101" s="75"/>
      <c r="P101" s="67" t="str">
        <f>P76</f>
        <v/>
      </c>
      <c r="Q101" cm="1">
        <f t="array" ref="Q101">IF(LEN(P101)=0,-1,SUMPRODUCT(((P80:P89=$P101)*(Q80:Q89&gt;R80:R89))+((S80:S89=$P101)*(R80:R89&gt;Q80:Q89))))</f>
        <v>-1</v>
      </c>
      <c r="R101" s="91" t="str">
        <f>IFERROR(Q94/R94,"")</f>
        <v/>
      </c>
      <c r="S101" s="90"/>
      <c r="T101" s="75"/>
    </row>
    <row r="102" spans="1:20" x14ac:dyDescent="0.25">
      <c r="A102" s="67" t="str">
        <f>A77</f>
        <v>University of team 27</v>
      </c>
      <c r="B102" cm="1">
        <f t="array" ref="B102">IF(LEN(A102)=0,-1,SUMPRODUCT(((A80:A89=$A102)*(B80:B89&gt;C80:C89))+((D80:D89=$A102)*(C80:C89&gt;B80:B89))))</f>
        <v>2</v>
      </c>
      <c r="C102" s="91">
        <f>IFERROR(B95/C95,"")</f>
        <v>0.49382716049382713</v>
      </c>
      <c r="D102" s="90" t="s">
        <v>166</v>
      </c>
      <c r="E102" s="75">
        <v>0.37878787878787878</v>
      </c>
      <c r="F102" s="67" t="str">
        <f>F77</f>
        <v>University of team 17</v>
      </c>
      <c r="G102" cm="1">
        <f t="array" ref="G102">IF(LEN(F102)=0,-1,SUMPRODUCT(((F80:F89=$F102)*(G80:G89&gt;H80:H89))+((I80:I89=$F102)*(H80:H89&gt;G80:G89))))</f>
        <v>0</v>
      </c>
      <c r="H102" s="91">
        <f>IFERROR(G95/H95,"")</f>
        <v>0.14473684210526316</v>
      </c>
      <c r="I102" s="90" t="s">
        <v>153</v>
      </c>
      <c r="J102" s="75">
        <v>0.14473684210526316</v>
      </c>
      <c r="K102" s="67" t="str">
        <f>K77</f>
        <v/>
      </c>
      <c r="L102" cm="1">
        <f t="array" ref="L102">IF(LEN(K102)=0,-1,SUMPRODUCT(((K80:K89=$K102)*(L80:L89&gt;M80:M89))+((N80:N89=$K102)*(M80:M89&gt;L80:L89))))</f>
        <v>-1</v>
      </c>
      <c r="M102" s="91" t="str">
        <f>IFERROR(L95/M95,"")</f>
        <v/>
      </c>
      <c r="N102" s="90"/>
      <c r="O102" s="75"/>
      <c r="P102" s="67" t="str">
        <f>P77</f>
        <v/>
      </c>
      <c r="Q102" cm="1">
        <f t="array" ref="Q102">IF(LEN(P102)=0,-1,SUMPRODUCT(((P80:P89=$P102)*(Q80:Q89&gt;R80:R89))+((S80:S89=$P102)*(R80:R89&gt;Q80:Q89))))</f>
        <v>-1</v>
      </c>
      <c r="R102" s="91" t="str">
        <f>IFERROR(Q95/R95,"")</f>
        <v/>
      </c>
      <c r="S102" s="90"/>
      <c r="T102" s="75"/>
    </row>
    <row r="103" spans="1:20" x14ac:dyDescent="0.25">
      <c r="A103" s="92" t="str">
        <f>A78</f>
        <v/>
      </c>
      <c r="B103" s="93" cm="1">
        <f t="array" ref="B103">IF(LEN(A103)=0,-1,SUMPRODUCT(((A80:A89=$A103)*(B80:B89&gt;C80:C89))+((D80:D89=$A103)*(C80:C89&gt;B80:B89))))</f>
        <v>-1</v>
      </c>
      <c r="C103" s="94" t="str">
        <f>IFERROR(B96/C96,"")</f>
        <v/>
      </c>
      <c r="D103" s="90"/>
      <c r="E103" s="75"/>
      <c r="F103" s="92" t="str">
        <f>F78</f>
        <v/>
      </c>
      <c r="G103" s="93" cm="1">
        <f t="array" ref="G103">IF(LEN(F103)=0,-1,SUMPRODUCT(((F80:F89=$F103)*(G80:G89&gt;H80:H89))+((I80:I89=$F103)*(H80:H89&gt;G80:G89))))</f>
        <v>-1</v>
      </c>
      <c r="H103" s="94" t="str">
        <f>IFERROR(G96/H96,"")</f>
        <v/>
      </c>
      <c r="I103" s="90"/>
      <c r="J103" s="75"/>
      <c r="K103" s="92" t="str">
        <f>K78</f>
        <v/>
      </c>
      <c r="L103" s="93" cm="1">
        <f t="array" ref="L103">IF(LEN(K103)=0,-1,SUMPRODUCT(((K80:K89=$K103)*(L80:L89&gt;M80:M89))+((N80:N89=$K103)*(M80:M89&gt;L80:L89))))</f>
        <v>-1</v>
      </c>
      <c r="M103" s="94" t="str">
        <f>IFERROR(L96/M96,"")</f>
        <v/>
      </c>
      <c r="N103" s="90"/>
      <c r="O103" s="75"/>
      <c r="P103" s="92" t="str">
        <f>P78</f>
        <v/>
      </c>
      <c r="Q103" s="93" cm="1">
        <f t="array" ref="Q103">IF(LEN(P103)=0,-1,SUMPRODUCT(((P80:P89=$P103)*(Q80:Q89&gt;R80:R89))+((S80:S89=$P103)*(R80:R89&gt;Q80:Q89))))</f>
        <v>-1</v>
      </c>
      <c r="R103" s="94" t="str">
        <f>IFERROR(Q96/R96,"")</f>
        <v/>
      </c>
      <c r="S103" s="90"/>
      <c r="T103" s="75"/>
    </row>
    <row r="104" spans="1:20" x14ac:dyDescent="0.25">
      <c r="A104" s="67" t="str" cm="1">
        <f t="array" ref="A104:C108">_xlfn.SORTBY(A99:C103,B99:B103,-1,C99:C103,-1)</f>
        <v>University of team 28</v>
      </c>
      <c r="B104">
        <v>2</v>
      </c>
      <c r="C104">
        <v>0.66265060240963858</v>
      </c>
      <c r="D104" s="89">
        <f>COUNTIF(B104:B108,B104)-1</f>
        <v>1</v>
      </c>
      <c r="E104" s="68"/>
      <c r="F104" s="67" t="str" cm="1">
        <f t="array" ref="F104:H108">_xlfn.SORTBY(F99:H103,G99:G103,-1,H99:H103,-1)</f>
        <v>University of team 22</v>
      </c>
      <c r="G104">
        <v>3</v>
      </c>
      <c r="H104">
        <v>0.765625</v>
      </c>
      <c r="I104" s="89">
        <f>COUNTIF(G104:G108,G104)-1</f>
        <v>0</v>
      </c>
      <c r="J104" s="68"/>
      <c r="K104" s="67" t="str" cm="1">
        <f t="array" ref="K104:M108">_xlfn.SORTBY(K99:M103,L99:L103,-1,M99:M103,-1)</f>
        <v/>
      </c>
      <c r="L104">
        <v>-1</v>
      </c>
      <c r="M104" t="str">
        <v/>
      </c>
      <c r="N104" s="89">
        <f>COUNTIF(L104:L108,L104)-1</f>
        <v>4</v>
      </c>
      <c r="O104" s="68"/>
      <c r="P104" s="67" t="str" cm="1">
        <f t="array" ref="P104:R108">_xlfn.SORTBY(P99:R103,Q99:Q103,-1,R99:R103,-1)</f>
        <v/>
      </c>
      <c r="Q104">
        <v>-1</v>
      </c>
      <c r="R104" t="str">
        <v/>
      </c>
      <c r="S104" s="89">
        <f>COUNTIF(Q104:Q108,Q104)-1</f>
        <v>4</v>
      </c>
      <c r="T104" s="68"/>
    </row>
    <row r="105" spans="1:20" x14ac:dyDescent="0.25">
      <c r="A105" s="67" t="str">
        <v>University of team 27</v>
      </c>
      <c r="B105">
        <v>2</v>
      </c>
      <c r="C105">
        <v>0.49382716049382713</v>
      </c>
      <c r="D105" s="91">
        <f>COUNTIF(B104:B108,B105)-1</f>
        <v>1</v>
      </c>
      <c r="E105" s="68"/>
      <c r="F105" s="67" t="str">
        <v>University of team 26</v>
      </c>
      <c r="G105">
        <v>2</v>
      </c>
      <c r="H105">
        <v>0.70422535211267601</v>
      </c>
      <c r="I105" s="91">
        <f>COUNTIF(G104:G108,G105)-1</f>
        <v>0</v>
      </c>
      <c r="J105" s="68"/>
      <c r="K105" s="67" t="str">
        <v/>
      </c>
      <c r="L105">
        <v>-1</v>
      </c>
      <c r="M105" t="str">
        <v/>
      </c>
      <c r="N105" s="91">
        <f>COUNTIF(L104:L108,L105)-1</f>
        <v>4</v>
      </c>
      <c r="O105" s="68"/>
      <c r="P105" s="67" t="str">
        <v/>
      </c>
      <c r="Q105">
        <v>-1</v>
      </c>
      <c r="R105" t="str">
        <v/>
      </c>
      <c r="S105" s="91">
        <f>COUNTIF(Q104:Q108,Q105)-1</f>
        <v>4</v>
      </c>
      <c r="T105" s="68"/>
    </row>
    <row r="106" spans="1:20" x14ac:dyDescent="0.25">
      <c r="A106" s="67" t="str">
        <v>University of team 29</v>
      </c>
      <c r="B106">
        <v>1</v>
      </c>
      <c r="C106">
        <v>0.43902439024390244</v>
      </c>
      <c r="D106" s="91">
        <f>COUNTIF(B104:B108,B106)-1</f>
        <v>1</v>
      </c>
      <c r="E106" s="68"/>
      <c r="F106" s="67" t="str">
        <v>University of team 24</v>
      </c>
      <c r="G106">
        <v>1</v>
      </c>
      <c r="H106">
        <v>0.44155844155844154</v>
      </c>
      <c r="I106" s="91">
        <f>COUNTIF(G104:G108,G106)-1</f>
        <v>0</v>
      </c>
      <c r="J106" s="68"/>
      <c r="K106" s="67" t="str">
        <v/>
      </c>
      <c r="L106">
        <v>-1</v>
      </c>
      <c r="M106" t="str">
        <v/>
      </c>
      <c r="N106" s="91">
        <f>COUNTIF(L104:L108,L106)-1</f>
        <v>4</v>
      </c>
      <c r="O106" s="68"/>
      <c r="P106" s="67" t="str">
        <v/>
      </c>
      <c r="Q106">
        <v>-1</v>
      </c>
      <c r="R106" t="str">
        <v/>
      </c>
      <c r="S106" s="91">
        <f>COUNTIF(Q104:Q108,Q106)-1</f>
        <v>4</v>
      </c>
      <c r="T106" s="68"/>
    </row>
    <row r="107" spans="1:20" x14ac:dyDescent="0.25">
      <c r="A107" s="67" t="str">
        <v>University of team 30</v>
      </c>
      <c r="B107">
        <v>1</v>
      </c>
      <c r="C107">
        <v>0.37878787878787878</v>
      </c>
      <c r="D107" s="91">
        <f>COUNTIF(B104:B108,B107)-1</f>
        <v>1</v>
      </c>
      <c r="E107" s="68"/>
      <c r="F107" s="67" t="str">
        <v>University of team 17</v>
      </c>
      <c r="G107">
        <v>0</v>
      </c>
      <c r="H107">
        <v>0.14473684210526316</v>
      </c>
      <c r="I107" s="91">
        <f>COUNTIF(G104:G108,G107)-1</f>
        <v>0</v>
      </c>
      <c r="J107" s="68"/>
      <c r="K107" s="67" t="str">
        <v/>
      </c>
      <c r="L107">
        <v>-1</v>
      </c>
      <c r="M107" t="str">
        <v/>
      </c>
      <c r="N107" s="91">
        <f>COUNTIF(L104:L108,L107)-1</f>
        <v>4</v>
      </c>
      <c r="O107" s="68"/>
      <c r="P107" s="67" t="str">
        <v/>
      </c>
      <c r="Q107">
        <v>-1</v>
      </c>
      <c r="R107" t="str">
        <v/>
      </c>
      <c r="S107" s="91">
        <f>COUNTIF(Q104:Q108,Q107)-1</f>
        <v>4</v>
      </c>
      <c r="T107" s="68"/>
    </row>
    <row r="108" spans="1:20" ht="15.75" thickBot="1" x14ac:dyDescent="0.3">
      <c r="A108" s="95" t="str">
        <v/>
      </c>
      <c r="B108" s="96">
        <v>-1</v>
      </c>
      <c r="C108" s="96" t="str">
        <v/>
      </c>
      <c r="D108" s="97">
        <f>COUNTIF(B104:B108,B108)-1</f>
        <v>0</v>
      </c>
      <c r="E108" s="98"/>
      <c r="F108" s="95" t="str">
        <v/>
      </c>
      <c r="G108" s="96">
        <v>-1</v>
      </c>
      <c r="H108" s="96" t="str">
        <v/>
      </c>
      <c r="I108" s="97">
        <f>COUNTIF(G104:G108,G108)-1</f>
        <v>0</v>
      </c>
      <c r="J108" s="98"/>
      <c r="K108" s="95" t="str">
        <v/>
      </c>
      <c r="L108" s="96">
        <v>-1</v>
      </c>
      <c r="M108" s="96" t="str">
        <v/>
      </c>
      <c r="N108" s="97">
        <f>COUNTIF(L104:L108,L108)-1</f>
        <v>4</v>
      </c>
      <c r="O108" s="98"/>
      <c r="P108" s="95" t="str">
        <v/>
      </c>
      <c r="Q108" s="96">
        <v>-1</v>
      </c>
      <c r="R108" s="96" t="str">
        <v/>
      </c>
      <c r="S108" s="97">
        <f>COUNTIF(Q104:Q108,Q108)-1</f>
        <v>4</v>
      </c>
      <c r="T108" s="98"/>
    </row>
    <row r="109" spans="1:20" ht="15.75" thickTop="1" x14ac:dyDescent="0.25">
      <c r="A109" s="51" t="str">
        <f>'Teams in Pools'!A19</f>
        <v>Pool 4</v>
      </c>
      <c r="B109" s="52"/>
      <c r="C109" s="52"/>
      <c r="D109" s="52"/>
      <c r="E109" s="53"/>
      <c r="F109" s="51" t="str">
        <f>'Teams in Pools'!C19</f>
        <v>Pool 8</v>
      </c>
      <c r="G109" s="52"/>
      <c r="H109" s="52"/>
      <c r="I109" s="52"/>
      <c r="J109" s="53"/>
      <c r="K109" s="51">
        <f>'Teams in Pools'!E19</f>
        <v>0</v>
      </c>
      <c r="L109" s="52"/>
      <c r="M109" s="52"/>
      <c r="N109" s="52"/>
      <c r="O109" s="53"/>
      <c r="P109" s="51">
        <f>'Teams in Pools'!G19</f>
        <v>0</v>
      </c>
      <c r="Q109" s="52"/>
      <c r="R109" s="52"/>
      <c r="S109" s="52"/>
      <c r="T109" s="53"/>
    </row>
    <row r="110" spans="1:20" x14ac:dyDescent="0.25">
      <c r="A110" s="67" t="str">
        <f>IF(D110=0,"",D110)</f>
        <v>University of team 19</v>
      </c>
      <c r="D110" t="str" cm="1">
        <f t="array" ref="D110:D114">'Teams in Pools'!A20:A24</f>
        <v>University of team 19</v>
      </c>
      <c r="E110" s="68"/>
      <c r="F110" s="67" t="str">
        <f>IF(I110=0,"",I110)</f>
        <v>University of team 5</v>
      </c>
      <c r="I110" t="str" cm="1">
        <f t="array" ref="I110:I114">'Teams in Pools'!C20:C24</f>
        <v>University of team 5</v>
      </c>
      <c r="J110" s="68"/>
      <c r="K110" s="67" t="str">
        <f>IF(N110=0,"",N110)</f>
        <v/>
      </c>
      <c r="N110" cm="1">
        <f t="array" ref="N110:N114">'Teams in Pools'!E20:E24</f>
        <v>0</v>
      </c>
      <c r="O110" s="68"/>
      <c r="P110" s="67" t="str">
        <f>IF(S110=0,"",S110)</f>
        <v/>
      </c>
      <c r="S110" cm="1">
        <f t="array" ref="S110:S114">'Teams in Pools'!G20:G24</f>
        <v>0</v>
      </c>
      <c r="T110" s="68"/>
    </row>
    <row r="111" spans="1:20" x14ac:dyDescent="0.25">
      <c r="A111" s="67" t="str">
        <f t="shared" ref="A111:A114" si="12">IF(D111=0,"",D111)</f>
        <v>University of team 2</v>
      </c>
      <c r="D111" t="str">
        <v>University of team 2</v>
      </c>
      <c r="E111" s="68"/>
      <c r="F111" s="67" t="str">
        <f t="shared" ref="F111:F114" si="13">IF(I111=0,"",I111)</f>
        <v>University of team 15</v>
      </c>
      <c r="I111" t="str">
        <v>University of team 15</v>
      </c>
      <c r="J111" s="68"/>
      <c r="K111" s="67" t="str">
        <f t="shared" ref="K111:K114" si="14">IF(N111=0,"",N111)</f>
        <v/>
      </c>
      <c r="N111">
        <v>0</v>
      </c>
      <c r="O111" s="68"/>
      <c r="P111" s="67" t="str">
        <f t="shared" ref="P111:P114" si="15">IF(S111=0,"",S111)</f>
        <v/>
      </c>
      <c r="S111">
        <v>0</v>
      </c>
      <c r="T111" s="68"/>
    </row>
    <row r="112" spans="1:20" x14ac:dyDescent="0.25">
      <c r="A112" s="67" t="str">
        <f t="shared" si="12"/>
        <v>University of team 12</v>
      </c>
      <c r="D112" t="str">
        <v>University of team 12</v>
      </c>
      <c r="E112" s="68"/>
      <c r="F112" s="67" t="str">
        <f t="shared" si="13"/>
        <v>University of team 31</v>
      </c>
      <c r="I112" t="str">
        <v>University of team 31</v>
      </c>
      <c r="J112" s="68"/>
      <c r="K112" s="67" t="str">
        <f t="shared" si="14"/>
        <v/>
      </c>
      <c r="N112">
        <v>0</v>
      </c>
      <c r="O112" s="68"/>
      <c r="P112" s="67" t="str">
        <f t="shared" si="15"/>
        <v/>
      </c>
      <c r="S112">
        <v>0</v>
      </c>
      <c r="T112" s="68"/>
    </row>
    <row r="113" spans="1:20" x14ac:dyDescent="0.25">
      <c r="A113" s="67" t="str">
        <f t="shared" si="12"/>
        <v>University of team 23</v>
      </c>
      <c r="D113" t="str">
        <v>University of team 23</v>
      </c>
      <c r="E113" s="68"/>
      <c r="F113" s="67" t="str">
        <f t="shared" si="13"/>
        <v>University of team 4</v>
      </c>
      <c r="I113" t="str">
        <v>University of team 4</v>
      </c>
      <c r="J113" s="68"/>
      <c r="K113" s="67" t="str">
        <f t="shared" si="14"/>
        <v/>
      </c>
      <c r="N113">
        <v>0</v>
      </c>
      <c r="O113" s="68"/>
      <c r="P113" s="67" t="str">
        <f t="shared" si="15"/>
        <v/>
      </c>
      <c r="S113">
        <v>0</v>
      </c>
      <c r="T113" s="68"/>
    </row>
    <row r="114" spans="1:20" x14ac:dyDescent="0.25">
      <c r="A114" s="67" t="str">
        <f t="shared" si="12"/>
        <v/>
      </c>
      <c r="D114">
        <v>0</v>
      </c>
      <c r="E114" s="68"/>
      <c r="F114" s="67" t="str">
        <f t="shared" si="13"/>
        <v/>
      </c>
      <c r="I114">
        <v>0</v>
      </c>
      <c r="J114" s="68"/>
      <c r="K114" s="67" t="str">
        <f t="shared" si="14"/>
        <v/>
      </c>
      <c r="N114">
        <v>0</v>
      </c>
      <c r="O114" s="68"/>
      <c r="P114" s="67" t="str">
        <f t="shared" si="15"/>
        <v/>
      </c>
      <c r="S114">
        <v>0</v>
      </c>
      <c r="T114" s="68"/>
    </row>
    <row r="115" spans="1:20" x14ac:dyDescent="0.25">
      <c r="A115" s="67"/>
      <c r="E115" s="68"/>
      <c r="F115" s="67"/>
      <c r="J115" s="68"/>
      <c r="K115" s="67"/>
      <c r="O115" s="68"/>
      <c r="P115" s="67"/>
      <c r="T115" s="68"/>
    </row>
    <row r="116" spans="1:20" x14ac:dyDescent="0.25">
      <c r="A116" s="67" t="str">
        <f>A110</f>
        <v>University of team 19</v>
      </c>
      <c r="B116">
        <v>25</v>
      </c>
      <c r="C116">
        <v>5</v>
      </c>
      <c r="D116" t="str">
        <f>A111</f>
        <v>University of team 2</v>
      </c>
      <c r="E116" s="68"/>
      <c r="F116" s="67" t="str">
        <f>F110</f>
        <v>University of team 5</v>
      </c>
      <c r="G116">
        <v>22</v>
      </c>
      <c r="H116">
        <v>5</v>
      </c>
      <c r="I116" t="str">
        <f>F111</f>
        <v>University of team 15</v>
      </c>
      <c r="J116" s="68"/>
      <c r="K116" s="67" t="str">
        <f>K110</f>
        <v/>
      </c>
      <c r="N116" t="str">
        <f>K111</f>
        <v/>
      </c>
      <c r="O116" s="68"/>
      <c r="P116" s="67" t="str">
        <f>P110</f>
        <v/>
      </c>
      <c r="S116" t="str">
        <f>P111</f>
        <v/>
      </c>
      <c r="T116" s="68"/>
    </row>
    <row r="117" spans="1:20" x14ac:dyDescent="0.25">
      <c r="A117" s="67" t="str">
        <f>A110</f>
        <v>University of team 19</v>
      </c>
      <c r="B117">
        <v>20</v>
      </c>
      <c r="C117">
        <v>25</v>
      </c>
      <c r="D117" t="str">
        <f>A112</f>
        <v>University of team 12</v>
      </c>
      <c r="E117" s="68"/>
      <c r="F117" s="67" t="str">
        <f>F110</f>
        <v>University of team 5</v>
      </c>
      <c r="G117">
        <v>5</v>
      </c>
      <c r="H117">
        <v>22</v>
      </c>
      <c r="I117" t="str">
        <f>F112</f>
        <v>University of team 31</v>
      </c>
      <c r="J117" s="68"/>
      <c r="K117" s="67" t="str">
        <f>K110</f>
        <v/>
      </c>
      <c r="N117" t="str">
        <f>K112</f>
        <v/>
      </c>
      <c r="O117" s="68"/>
      <c r="P117" s="67" t="str">
        <f>P110</f>
        <v/>
      </c>
      <c r="S117" t="str">
        <f>P112</f>
        <v/>
      </c>
      <c r="T117" s="68"/>
    </row>
    <row r="118" spans="1:20" x14ac:dyDescent="0.25">
      <c r="A118" s="67" t="str">
        <f>A110</f>
        <v>University of team 19</v>
      </c>
      <c r="B118">
        <v>3</v>
      </c>
      <c r="C118">
        <v>16</v>
      </c>
      <c r="D118" t="str">
        <f>A113</f>
        <v>University of team 23</v>
      </c>
      <c r="E118" s="68"/>
      <c r="F118" s="67" t="str">
        <f>F110</f>
        <v>University of team 5</v>
      </c>
      <c r="G118">
        <v>8</v>
      </c>
      <c r="H118">
        <v>27</v>
      </c>
      <c r="I118" t="str">
        <f>F113</f>
        <v>University of team 4</v>
      </c>
      <c r="J118" s="68"/>
      <c r="K118" s="67" t="str">
        <f>K110</f>
        <v/>
      </c>
      <c r="N118" t="str">
        <f>K113</f>
        <v/>
      </c>
      <c r="O118" s="68"/>
      <c r="P118" s="67" t="str">
        <f>P110</f>
        <v/>
      </c>
      <c r="S118" t="str">
        <f>P113</f>
        <v/>
      </c>
      <c r="T118" s="68"/>
    </row>
    <row r="119" spans="1:20" x14ac:dyDescent="0.25">
      <c r="A119" s="67" t="str">
        <f>A110</f>
        <v>University of team 19</v>
      </c>
      <c r="D119" t="str">
        <f>A114</f>
        <v/>
      </c>
      <c r="E119" s="68"/>
      <c r="F119" s="67" t="str">
        <f>F110</f>
        <v>University of team 5</v>
      </c>
      <c r="I119" t="str">
        <f>F114</f>
        <v/>
      </c>
      <c r="J119" s="68"/>
      <c r="K119" s="67" t="str">
        <f>K110</f>
        <v/>
      </c>
      <c r="N119" t="str">
        <f>K114</f>
        <v/>
      </c>
      <c r="O119" s="68"/>
      <c r="P119" s="67" t="str">
        <f>P110</f>
        <v/>
      </c>
      <c r="S119" t="str">
        <f>P114</f>
        <v/>
      </c>
      <c r="T119" s="68"/>
    </row>
    <row r="120" spans="1:20" x14ac:dyDescent="0.25">
      <c r="A120" s="67" t="str">
        <f>A111</f>
        <v>University of team 2</v>
      </c>
      <c r="B120">
        <v>25</v>
      </c>
      <c r="C120">
        <v>7</v>
      </c>
      <c r="D120" t="str">
        <f>A112</f>
        <v>University of team 12</v>
      </c>
      <c r="E120" s="68"/>
      <c r="F120" s="67" t="str">
        <f>F111</f>
        <v>University of team 15</v>
      </c>
      <c r="G120">
        <v>19</v>
      </c>
      <c r="H120">
        <v>11</v>
      </c>
      <c r="I120" t="str">
        <f>F112</f>
        <v>University of team 31</v>
      </c>
      <c r="J120" s="68"/>
      <c r="K120" s="67" t="str">
        <f>K111</f>
        <v/>
      </c>
      <c r="N120" t="str">
        <f>K112</f>
        <v/>
      </c>
      <c r="O120" s="68"/>
      <c r="P120" s="67" t="str">
        <f>P111</f>
        <v/>
      </c>
      <c r="S120" t="str">
        <f>P112</f>
        <v/>
      </c>
      <c r="T120" s="68"/>
    </row>
    <row r="121" spans="1:20" x14ac:dyDescent="0.25">
      <c r="A121" s="67" t="str">
        <f>A111</f>
        <v>University of team 2</v>
      </c>
      <c r="B121">
        <v>29</v>
      </c>
      <c r="C121">
        <v>15</v>
      </c>
      <c r="D121" t="str">
        <f>A113</f>
        <v>University of team 23</v>
      </c>
      <c r="E121" s="68"/>
      <c r="F121" s="67" t="str">
        <f>F111</f>
        <v>University of team 15</v>
      </c>
      <c r="G121">
        <v>7</v>
      </c>
      <c r="H121">
        <v>23</v>
      </c>
      <c r="I121" t="str">
        <f>F113</f>
        <v>University of team 4</v>
      </c>
      <c r="J121" s="68"/>
      <c r="K121" s="67" t="str">
        <f>K111</f>
        <v/>
      </c>
      <c r="N121" t="str">
        <f>K113</f>
        <v/>
      </c>
      <c r="O121" s="68"/>
      <c r="P121" s="67" t="str">
        <f>P111</f>
        <v/>
      </c>
      <c r="S121" t="str">
        <f>P113</f>
        <v/>
      </c>
      <c r="T121" s="68"/>
    </row>
    <row r="122" spans="1:20" x14ac:dyDescent="0.25">
      <c r="A122" s="67" t="str">
        <f>A111</f>
        <v>University of team 2</v>
      </c>
      <c r="D122" t="str">
        <f>A114</f>
        <v/>
      </c>
      <c r="E122" s="68"/>
      <c r="F122" s="67" t="str">
        <f>F111</f>
        <v>University of team 15</v>
      </c>
      <c r="I122" t="str">
        <f>F114</f>
        <v/>
      </c>
      <c r="J122" s="68"/>
      <c r="K122" s="67" t="str">
        <f>K111</f>
        <v/>
      </c>
      <c r="N122" t="str">
        <f>K114</f>
        <v/>
      </c>
      <c r="O122" s="68"/>
      <c r="P122" s="67" t="str">
        <f>P111</f>
        <v/>
      </c>
      <c r="S122" t="str">
        <f>P114</f>
        <v/>
      </c>
      <c r="T122" s="68"/>
    </row>
    <row r="123" spans="1:20" x14ac:dyDescent="0.25">
      <c r="A123" s="67" t="str">
        <f>A112</f>
        <v>University of team 12</v>
      </c>
      <c r="B123">
        <v>21</v>
      </c>
      <c r="C123">
        <v>11</v>
      </c>
      <c r="D123" t="str">
        <f>A113</f>
        <v>University of team 23</v>
      </c>
      <c r="E123" s="68"/>
      <c r="F123" s="67" t="str">
        <f>F112</f>
        <v>University of team 31</v>
      </c>
      <c r="G123">
        <v>7</v>
      </c>
      <c r="H123">
        <v>11</v>
      </c>
      <c r="I123" t="str">
        <f>F113</f>
        <v>University of team 4</v>
      </c>
      <c r="J123" s="68"/>
      <c r="K123" s="67" t="str">
        <f>K112</f>
        <v/>
      </c>
      <c r="N123" t="str">
        <f>K113</f>
        <v/>
      </c>
      <c r="O123" s="68"/>
      <c r="P123" s="67" t="str">
        <f>P112</f>
        <v/>
      </c>
      <c r="S123" t="str">
        <f>P113</f>
        <v/>
      </c>
      <c r="T123" s="68"/>
    </row>
    <row r="124" spans="1:20" x14ac:dyDescent="0.25">
      <c r="A124" s="67" t="str">
        <f>A112</f>
        <v>University of team 12</v>
      </c>
      <c r="D124" t="str">
        <f>A114</f>
        <v/>
      </c>
      <c r="E124" s="68"/>
      <c r="F124" s="67" t="str">
        <f>F112</f>
        <v>University of team 31</v>
      </c>
      <c r="I124" t="str">
        <f>F114</f>
        <v/>
      </c>
      <c r="J124" s="68"/>
      <c r="K124" s="67" t="str">
        <f>K112</f>
        <v/>
      </c>
      <c r="N124" t="str">
        <f>K114</f>
        <v/>
      </c>
      <c r="O124" s="68"/>
      <c r="P124" s="67" t="str">
        <f>P112</f>
        <v/>
      </c>
      <c r="S124" t="str">
        <f>P114</f>
        <v/>
      </c>
      <c r="T124" s="68"/>
    </row>
    <row r="125" spans="1:20" x14ac:dyDescent="0.25">
      <c r="A125" s="67" t="str">
        <f>A113</f>
        <v>University of team 23</v>
      </c>
      <c r="D125" t="str">
        <f>A114</f>
        <v/>
      </c>
      <c r="E125" s="68"/>
      <c r="F125" s="67" t="str">
        <f>F113</f>
        <v>University of team 4</v>
      </c>
      <c r="I125" t="str">
        <f>F114</f>
        <v/>
      </c>
      <c r="J125" s="68"/>
      <c r="K125" s="67" t="str">
        <f>K113</f>
        <v/>
      </c>
      <c r="N125" t="str">
        <f>K114</f>
        <v/>
      </c>
      <c r="O125" s="68"/>
      <c r="P125" s="67" t="str">
        <f>P113</f>
        <v/>
      </c>
      <c r="S125" t="str">
        <f>P114</f>
        <v/>
      </c>
      <c r="T125" s="68"/>
    </row>
    <row r="126" spans="1:20" x14ac:dyDescent="0.25">
      <c r="A126" s="67"/>
      <c r="E126" s="68"/>
      <c r="F126" s="67"/>
      <c r="J126" s="68"/>
      <c r="K126" s="67"/>
      <c r="O126" s="68"/>
      <c r="P126" s="67"/>
      <c r="T126" s="68"/>
    </row>
    <row r="127" spans="1:20" x14ac:dyDescent="0.25">
      <c r="A127" s="67"/>
      <c r="B127" t="s">
        <v>19</v>
      </c>
      <c r="C127" t="s">
        <v>20</v>
      </c>
      <c r="E127" s="68"/>
      <c r="F127" s="67"/>
      <c r="G127" t="s">
        <v>19</v>
      </c>
      <c r="H127" t="s">
        <v>20</v>
      </c>
      <c r="J127" s="68"/>
      <c r="K127" s="67"/>
      <c r="L127" t="s">
        <v>19</v>
      </c>
      <c r="M127" t="s">
        <v>20</v>
      </c>
      <c r="O127" s="68"/>
      <c r="P127" s="67"/>
      <c r="Q127" t="s">
        <v>19</v>
      </c>
      <c r="R127" t="s">
        <v>20</v>
      </c>
      <c r="T127" s="68"/>
    </row>
    <row r="128" spans="1:20" x14ac:dyDescent="0.25">
      <c r="A128" s="67" t="str">
        <f>A110</f>
        <v>University of team 19</v>
      </c>
      <c r="B128">
        <f>B116+B117+B118+B119</f>
        <v>48</v>
      </c>
      <c r="C128">
        <f>C116+C117+C118+C119+B119+B118+B117+B116</f>
        <v>94</v>
      </c>
      <c r="E128" s="68"/>
      <c r="F128" s="67" t="str">
        <f>F110</f>
        <v>University of team 5</v>
      </c>
      <c r="G128">
        <f>G116+G117+G118+G119</f>
        <v>35</v>
      </c>
      <c r="H128">
        <f>H116+H117+H118+H119+G119+G118+G117+G116</f>
        <v>89</v>
      </c>
      <c r="J128" s="68"/>
      <c r="K128" s="67" t="str">
        <f>K110</f>
        <v/>
      </c>
      <c r="L128">
        <f>L116+L117+L118+L119</f>
        <v>0</v>
      </c>
      <c r="M128">
        <f>M116+M117+M118+M119+L119+L118+L117+L116</f>
        <v>0</v>
      </c>
      <c r="O128" s="68"/>
      <c r="P128" s="67" t="str">
        <f>P110</f>
        <v/>
      </c>
      <c r="Q128">
        <f>Q116+Q117+Q118+Q119</f>
        <v>0</v>
      </c>
      <c r="R128">
        <f>R116+R117+R118+R119+Q119+Q118+Q117+Q116</f>
        <v>0</v>
      </c>
      <c r="T128" s="68"/>
    </row>
    <row r="129" spans="1:20" x14ac:dyDescent="0.25">
      <c r="A129" s="67" t="str">
        <f>A111</f>
        <v>University of team 2</v>
      </c>
      <c r="B129">
        <f>B120+B121+B122+C116</f>
        <v>59</v>
      </c>
      <c r="C129">
        <f>B120+B121+B122+C120+C121+C122+C116+B116</f>
        <v>106</v>
      </c>
      <c r="E129" s="68"/>
      <c r="F129" s="67" t="str">
        <f>F111</f>
        <v>University of team 15</v>
      </c>
      <c r="G129">
        <f>G120+G121+G122+H116</f>
        <v>31</v>
      </c>
      <c r="H129">
        <f>G120+G121+G122+H120+H121+H122+H116+G116</f>
        <v>87</v>
      </c>
      <c r="J129" s="68"/>
      <c r="K129" s="67" t="str">
        <f>K111</f>
        <v/>
      </c>
      <c r="L129">
        <f>L120+L121+L122+M116</f>
        <v>0</v>
      </c>
      <c r="M129">
        <f>L120+L121+L122+M120+M121+M122+M116+L116</f>
        <v>0</v>
      </c>
      <c r="O129" s="68"/>
      <c r="P129" s="67" t="str">
        <f>P111</f>
        <v/>
      </c>
      <c r="Q129">
        <f>Q120+Q121+Q122+R116</f>
        <v>0</v>
      </c>
      <c r="R129">
        <f>Q120+Q121+Q122+R120+R121+R122+R116+Q116</f>
        <v>0</v>
      </c>
      <c r="T129" s="68"/>
    </row>
    <row r="130" spans="1:20" x14ac:dyDescent="0.25">
      <c r="A130" s="67" t="str">
        <f>A112</f>
        <v>University of team 12</v>
      </c>
      <c r="B130">
        <f>B123+B124+C120+C117</f>
        <v>53</v>
      </c>
      <c r="C130">
        <f>B123+B124+C117+C120+C123+C124+B120+B117</f>
        <v>109</v>
      </c>
      <c r="E130" s="68"/>
      <c r="F130" s="67" t="str">
        <f>F112</f>
        <v>University of team 31</v>
      </c>
      <c r="G130">
        <f>G123+G124+H120+H117</f>
        <v>40</v>
      </c>
      <c r="H130">
        <f>G123+G124+H117+H120+H123+H124+G120+G117</f>
        <v>75</v>
      </c>
      <c r="J130" s="68"/>
      <c r="K130" s="67" t="str">
        <f>K112</f>
        <v/>
      </c>
      <c r="L130">
        <f>L123+L124+M120+M117</f>
        <v>0</v>
      </c>
      <c r="M130">
        <f>L123+L124+M117+M120+M123+M124+L120+L117</f>
        <v>0</v>
      </c>
      <c r="O130" s="68"/>
      <c r="P130" s="67" t="str">
        <f>P112</f>
        <v/>
      </c>
      <c r="Q130">
        <f>Q123+Q124+R120+R117</f>
        <v>0</v>
      </c>
      <c r="R130">
        <f>Q123+Q124+R117+R120+R123+R124+Q120+Q117</f>
        <v>0</v>
      </c>
      <c r="T130" s="68"/>
    </row>
    <row r="131" spans="1:20" x14ac:dyDescent="0.25">
      <c r="A131" s="67" t="str">
        <f>A113</f>
        <v>University of team 23</v>
      </c>
      <c r="B131">
        <f>B125+C118+C121+C123</f>
        <v>42</v>
      </c>
      <c r="C131">
        <f>B125+C118+C121+C123+B123+C125+B121+B118</f>
        <v>95</v>
      </c>
      <c r="E131" s="68"/>
      <c r="F131" s="67" t="str">
        <f>F113</f>
        <v>University of team 4</v>
      </c>
      <c r="G131">
        <f>G125+H118+H121+H123</f>
        <v>61</v>
      </c>
      <c r="H131">
        <f>G125+H118+H121+H123+G123+H125+G121+G118</f>
        <v>83</v>
      </c>
      <c r="J131" s="68"/>
      <c r="K131" s="67" t="str">
        <f>K113</f>
        <v/>
      </c>
      <c r="L131">
        <f>L125+M118+M121+M123</f>
        <v>0</v>
      </c>
      <c r="M131">
        <f>L125+M118+M121+M123+L123+M125+L121+L118</f>
        <v>0</v>
      </c>
      <c r="O131" s="68"/>
      <c r="P131" s="67" t="str">
        <f>P113</f>
        <v/>
      </c>
      <c r="Q131">
        <f>Q125+R118+R121+R123</f>
        <v>0</v>
      </c>
      <c r="R131">
        <f>Q125+R118+R121+R123+Q123+R125+Q121+Q118</f>
        <v>0</v>
      </c>
      <c r="T131" s="68"/>
    </row>
    <row r="132" spans="1:20" x14ac:dyDescent="0.25">
      <c r="A132" s="67" t="str">
        <f>A114</f>
        <v/>
      </c>
      <c r="B132">
        <f>C125+C124+C122+C119</f>
        <v>0</v>
      </c>
      <c r="C132">
        <f>C125+C124+C122+C119+B119+B122+B124+B125</f>
        <v>0</v>
      </c>
      <c r="E132" s="68"/>
      <c r="F132" s="67" t="str">
        <f>F114</f>
        <v/>
      </c>
      <c r="G132">
        <f>H125+H124+H122+H119</f>
        <v>0</v>
      </c>
      <c r="H132">
        <f>H125+H124+H122+H119+G119+G122+G124+G125</f>
        <v>0</v>
      </c>
      <c r="J132" s="68"/>
      <c r="K132" s="67" t="str">
        <f>K114</f>
        <v/>
      </c>
      <c r="L132">
        <f>M125+M124+M122+M119</f>
        <v>0</v>
      </c>
      <c r="M132">
        <f>M125+M124+M122+M119+L119+L122+L124+L125</f>
        <v>0</v>
      </c>
      <c r="O132" s="68"/>
      <c r="P132" s="67" t="str">
        <f>P114</f>
        <v/>
      </c>
      <c r="Q132">
        <f>R125+R124+R122+R119</f>
        <v>0</v>
      </c>
      <c r="R132">
        <f>R125+R124+R122+R119+Q119+Q122+Q124+Q125</f>
        <v>0</v>
      </c>
      <c r="T132" s="68"/>
    </row>
    <row r="133" spans="1:20" x14ac:dyDescent="0.25">
      <c r="A133" s="67"/>
      <c r="E133" s="68"/>
      <c r="F133" s="67"/>
      <c r="J133" s="68"/>
      <c r="K133" s="67"/>
      <c r="O133" s="68"/>
      <c r="P133" s="67"/>
      <c r="T133" s="68"/>
    </row>
    <row r="134" spans="1:20" x14ac:dyDescent="0.25">
      <c r="A134" s="67"/>
      <c r="B134" t="s">
        <v>17</v>
      </c>
      <c r="C134" t="s">
        <v>18</v>
      </c>
      <c r="E134" s="68" t="s">
        <v>18</v>
      </c>
      <c r="F134" s="67"/>
      <c r="G134" t="s">
        <v>17</v>
      </c>
      <c r="H134" t="s">
        <v>18</v>
      </c>
      <c r="J134" s="68" t="s">
        <v>18</v>
      </c>
      <c r="K134" s="67"/>
      <c r="L134" t="s">
        <v>17</v>
      </c>
      <c r="M134" t="s">
        <v>18</v>
      </c>
      <c r="O134" s="68" t="s">
        <v>18</v>
      </c>
      <c r="P134" s="67"/>
      <c r="Q134" t="s">
        <v>17</v>
      </c>
      <c r="R134" t="s">
        <v>18</v>
      </c>
      <c r="T134" s="68" t="s">
        <v>18</v>
      </c>
    </row>
    <row r="135" spans="1:20" x14ac:dyDescent="0.25">
      <c r="A135" s="87" t="str">
        <f>A110</f>
        <v>University of team 19</v>
      </c>
      <c r="B135" s="88" cm="1">
        <f t="array" ref="B135">IF(LEN(A135)=0,-1,SUMPRODUCT(((A116:A125=$A135)*(B116:B125&gt;C116:C125))+((D116:D125=$A135)*(C116:C125&gt;B116:B125))))</f>
        <v>1</v>
      </c>
      <c r="C135" s="89">
        <f>IFERROR(B128/C128,"")</f>
        <v>0.51063829787234039</v>
      </c>
      <c r="D135" s="90" t="s">
        <v>138</v>
      </c>
      <c r="E135" s="75">
        <v>0.55660377358490565</v>
      </c>
      <c r="F135" s="87" t="str">
        <f>F110</f>
        <v>University of team 5</v>
      </c>
      <c r="G135" s="88" cm="1">
        <f t="array" ref="G135">IF(LEN(F135)=0,-1,SUMPRODUCT(((F116:F125=$F135)*(G116:G125&gt;H116:H125))+((I116:I125=$F135)*(H116:H125&gt;G116:G125))))</f>
        <v>1</v>
      </c>
      <c r="H135" s="89">
        <f>IFERROR(G128/H128,"")</f>
        <v>0.39325842696629215</v>
      </c>
      <c r="I135" s="90" t="s">
        <v>140</v>
      </c>
      <c r="J135" s="75">
        <v>0.73493975903614461</v>
      </c>
      <c r="K135" s="87" t="str">
        <f>K110</f>
        <v/>
      </c>
      <c r="L135" s="88" cm="1">
        <f t="array" ref="L135">IF(LEN(K135)=0,-1,SUMPRODUCT(((K116:K125=$K135)*(L116:L125&gt;M116:M125))+((N116:N125=$K135)*(M116:M125&gt;L116:L125))))</f>
        <v>-1</v>
      </c>
      <c r="M135" s="89" t="str">
        <f>IFERROR(L128/M128,"")</f>
        <v/>
      </c>
      <c r="N135" s="90"/>
      <c r="O135" s="75"/>
      <c r="P135" s="87" t="str">
        <f>P110</f>
        <v/>
      </c>
      <c r="Q135" s="88" cm="1">
        <f t="array" ref="Q135">IF(LEN(P135)=0,-1,SUMPRODUCT(((P116:P125=$P135)*(Q116:Q125&gt;R116:R125))+((S116:S125=$P135)*(R116:R125&gt;Q116:Q125))))</f>
        <v>-1</v>
      </c>
      <c r="R135" s="89" t="str">
        <f>IFERROR(Q128/R128,"")</f>
        <v/>
      </c>
      <c r="S135" s="90"/>
      <c r="T135" s="75"/>
    </row>
    <row r="136" spans="1:20" x14ac:dyDescent="0.25">
      <c r="A136" s="67" t="str">
        <f>A111</f>
        <v>University of team 2</v>
      </c>
      <c r="B136" cm="1">
        <f t="array" ref="B136">IF(LEN(A136)=0,-1,SUMPRODUCT(((A116:A125=$A136)*(B116:B125&gt;C116:C125))+((D116:D125=$A136)*(C116:C125&gt;B116:B125))))</f>
        <v>2</v>
      </c>
      <c r="C136" s="91">
        <f>IFERROR(B129/C129,"")</f>
        <v>0.55660377358490565</v>
      </c>
      <c r="D136" s="90" t="s">
        <v>148</v>
      </c>
      <c r="E136" s="75">
        <v>0.48623853211009177</v>
      </c>
      <c r="F136" s="67" t="str">
        <f>F111</f>
        <v>University of team 15</v>
      </c>
      <c r="G136" cm="1">
        <f t="array" ref="G136">IF(LEN(F136)=0,"-1",SUMPRODUCT(((F116:F125=$F136)*(G116:G125&gt;H116:H125))+((I116:I125=$F136)*(H116:H125&gt;G116:G125))))</f>
        <v>1</v>
      </c>
      <c r="H136" s="91">
        <f>IFERROR(G129/H129,"")</f>
        <v>0.35632183908045978</v>
      </c>
      <c r="I136" s="90" t="s">
        <v>167</v>
      </c>
      <c r="J136" s="75">
        <v>0.53333333333333333</v>
      </c>
      <c r="K136" s="67" t="str">
        <f>K111</f>
        <v/>
      </c>
      <c r="L136" cm="1">
        <f t="array" ref="L136">IF(LEN(K136)=0,-1,SUMPRODUCT(((K116:K125=$K136)*(L116:L125&gt;M116:M125))+((N116:N125=$K136)*(M116:M125&gt;L116:L125))))</f>
        <v>-1</v>
      </c>
      <c r="M136" s="91" t="str">
        <f>IFERROR(L129/M129,"")</f>
        <v/>
      </c>
      <c r="N136" s="90"/>
      <c r="O136" s="75"/>
      <c r="P136" s="67" t="str">
        <f>P111</f>
        <v/>
      </c>
      <c r="Q136" cm="1">
        <f t="array" ref="Q136">IF(LEN(P136)=0,-1,SUMPRODUCT(((P116:P125=$P136)*(Q116:Q125&gt;R116:R125))+((S116:S125=$P136)*(R116:R125&gt;Q116:Q125))))</f>
        <v>-1</v>
      </c>
      <c r="R136" s="91" t="str">
        <f>IFERROR(Q129/R129,"")</f>
        <v/>
      </c>
      <c r="S136" s="90"/>
      <c r="T136" s="75"/>
    </row>
    <row r="137" spans="1:20" x14ac:dyDescent="0.25">
      <c r="A137" s="67" t="str">
        <f>A112</f>
        <v>University of team 12</v>
      </c>
      <c r="B137" cm="1">
        <f t="array" ref="B137">IF(LEN(A137)=0,-1,SUMPRODUCT(((A116:A125=$A137)*(B116:B125&gt;C116:C125))+((D116:D125=$A137)*(C116:C125&gt;B116:B125))))</f>
        <v>2</v>
      </c>
      <c r="C137" s="91">
        <f>IFERROR(B130/C130,"")</f>
        <v>0.48623853211009177</v>
      </c>
      <c r="D137" s="90" t="s">
        <v>159</v>
      </c>
      <c r="E137" s="75">
        <v>0.44210526315789472</v>
      </c>
      <c r="F137" s="67" t="str">
        <f>F112</f>
        <v>University of team 31</v>
      </c>
      <c r="G137" cm="1">
        <f t="array" ref="G137">IF(LEN(F137)=0,-1,SUMPRODUCT(((F116:F125=$F137)*(G116:G125&gt;H116:H125))+((I116:I125=$F137)*(H116:H125&gt;G116:G125))))</f>
        <v>1</v>
      </c>
      <c r="H137" s="91">
        <f>IFERROR(G130/H130,"")</f>
        <v>0.53333333333333333</v>
      </c>
      <c r="I137" s="90" t="s">
        <v>141</v>
      </c>
      <c r="J137" s="75">
        <v>0.39325842696629215</v>
      </c>
      <c r="K137" s="67" t="str">
        <f>K112</f>
        <v/>
      </c>
      <c r="L137" cm="1">
        <f t="array" ref="L137">IF(LEN(K137)=0,-1,SUMPRODUCT(((K116:K125=$K137)*(L116:L125&gt;M116:M125))+((N116:N125=$K137)*(M116:M125&gt;L116:L125))))</f>
        <v>-1</v>
      </c>
      <c r="M137" s="91" t="str">
        <f>IFERROR(L130/M130,"")</f>
        <v/>
      </c>
      <c r="N137" s="90"/>
      <c r="O137" s="75"/>
      <c r="P137" s="67" t="str">
        <f>P112</f>
        <v/>
      </c>
      <c r="Q137" cm="1">
        <f t="array" ref="Q137">IF(LEN(P137)=0,-1,SUMPRODUCT(((P116:P125=$P137)*(Q116:Q125&gt;R116:R125))+((S116:S125=$P137)*(R116:R125&gt;Q116:Q125))))</f>
        <v>-1</v>
      </c>
      <c r="R137" s="91" t="str">
        <f>IFERROR(Q130/R130,"")</f>
        <v/>
      </c>
      <c r="S137" s="90"/>
      <c r="T137" s="75"/>
    </row>
    <row r="138" spans="1:20" x14ac:dyDescent="0.25">
      <c r="A138" s="67" t="str">
        <f>A113</f>
        <v>University of team 23</v>
      </c>
      <c r="B138" cm="1">
        <f t="array" ref="B138">IF(LEN(A138)=0,-1,SUMPRODUCT(((A116:A125=$A138)*(B116:B125&gt;C116:C125))+((D116:D125=$A138)*(C116:C125&gt;B116:B125))))</f>
        <v>1</v>
      </c>
      <c r="C138" s="91">
        <f>IFERROR(B131/C131,"")</f>
        <v>0.44210526315789472</v>
      </c>
      <c r="D138" s="90" t="s">
        <v>155</v>
      </c>
      <c r="E138" s="75">
        <v>0.51063829787234039</v>
      </c>
      <c r="F138" s="67" t="str">
        <f>F113</f>
        <v>University of team 4</v>
      </c>
      <c r="G138" cm="1">
        <f t="array" ref="G138">IF(LEN(F138)=0,-1,SUMPRODUCT(((F116:F125=$F138)*(G116:G125&gt;H116:H125))+((I116:I125=$F138)*(H116:H125&gt;G116:G125))))</f>
        <v>3</v>
      </c>
      <c r="H138" s="91">
        <f>IFERROR(G131/H131,"")</f>
        <v>0.73493975903614461</v>
      </c>
      <c r="I138" s="90" t="s">
        <v>151</v>
      </c>
      <c r="J138" s="75">
        <v>0.35632183908045978</v>
      </c>
      <c r="K138" s="67" t="str">
        <f>K113</f>
        <v/>
      </c>
      <c r="L138" cm="1">
        <f t="array" ref="L138">IF(LEN(K138)=0,-1,SUMPRODUCT(((K116:K125=$K138)*(L116:L125&gt;M116:M125))+((N116:N125=$K138)*(M116:M125&gt;L116:L125))))</f>
        <v>-1</v>
      </c>
      <c r="M138" s="91" t="str">
        <f>IFERROR(L131/M131,"")</f>
        <v/>
      </c>
      <c r="N138" s="90"/>
      <c r="O138" s="75"/>
      <c r="P138" s="67" t="str">
        <f>P113</f>
        <v/>
      </c>
      <c r="Q138" cm="1">
        <f t="array" ref="Q138">IF(LEN(P138)=0,-1,SUMPRODUCT(((P116:P125=$P138)*(Q116:Q125&gt;R116:R125))+((S116:S125=$P138)*(R116:R125&gt;Q116:Q125))))</f>
        <v>-1</v>
      </c>
      <c r="R138" s="91" t="str">
        <f>IFERROR(Q131/R131,"")</f>
        <v/>
      </c>
      <c r="S138" s="90"/>
      <c r="T138" s="75"/>
    </row>
    <row r="139" spans="1:20" x14ac:dyDescent="0.25">
      <c r="A139" s="92" t="str">
        <f>A114</f>
        <v/>
      </c>
      <c r="B139" s="93" cm="1">
        <f t="array" ref="B139">IF(LEN(A139)=0,-1,SUMPRODUCT(((A116:A125=$A139)*(B116:B125&gt;C116:C125))+((D116:D125=$A139)*(C116:C125&gt;B116:B125))))</f>
        <v>-1</v>
      </c>
      <c r="C139" s="94" t="str">
        <f>IFERROR(B132/C132,"")</f>
        <v/>
      </c>
      <c r="D139" s="90"/>
      <c r="E139" s="75"/>
      <c r="F139" s="92" t="str">
        <f>F114</f>
        <v/>
      </c>
      <c r="G139" s="93" cm="1">
        <f t="array" ref="G139">IF(LEN(F139)=0,-1,SUMPRODUCT(((F116:F125=$F139)*(G116:G125&gt;H116:H125))+((I116:I125=$F139)*(H116:H125&gt;G116:G125))))</f>
        <v>-1</v>
      </c>
      <c r="H139" s="94" t="str">
        <f>IFERROR(G132/H132,"")</f>
        <v/>
      </c>
      <c r="I139" s="90"/>
      <c r="J139" s="75"/>
      <c r="K139" s="92" t="str">
        <f>K114</f>
        <v/>
      </c>
      <c r="L139" s="93" cm="1">
        <f t="array" ref="L139">IF(LEN(K139)=0,-1,SUMPRODUCT(((K116:K125=$K139)*(L116:L125&gt;M116:M125))+((N116:N125=$K139)*(M116:M125&gt;L116:L125))))</f>
        <v>-1</v>
      </c>
      <c r="M139" s="94" t="str">
        <f>IFERROR(L132/M132,"")</f>
        <v/>
      </c>
      <c r="N139" s="90"/>
      <c r="O139" s="75"/>
      <c r="P139" s="92" t="str">
        <f>P114</f>
        <v/>
      </c>
      <c r="Q139" s="93" cm="1">
        <f t="array" ref="Q139">IF(LEN(P139)=0,-1,SUMPRODUCT(((P116:P125=$P139)*(Q116:Q125&gt;R116:R125))+((S116:S125=$P139)*(R116:R125&gt;Q116:Q125))))</f>
        <v>-1</v>
      </c>
      <c r="R139" s="94" t="str">
        <f>IFERROR(Q132/R132,"")</f>
        <v/>
      </c>
      <c r="S139" s="90"/>
      <c r="T139" s="75"/>
    </row>
    <row r="140" spans="1:20" x14ac:dyDescent="0.25">
      <c r="A140" s="67" t="str" cm="1">
        <f t="array" ref="A140:C144">_xlfn.SORTBY(A135:C139,B135:B139,-1,C135:C139,-1)</f>
        <v>University of team 2</v>
      </c>
      <c r="B140">
        <v>2</v>
      </c>
      <c r="C140">
        <v>0.55660377358490565</v>
      </c>
      <c r="D140" s="89">
        <f>COUNTIF(B140:B144,B140)-1</f>
        <v>1</v>
      </c>
      <c r="E140" s="68"/>
      <c r="F140" s="67" t="str" cm="1">
        <f t="array" ref="F140:H144">_xlfn.SORTBY(F135:H139,G135:G139,-1,H135:H139,-1)</f>
        <v>University of team 4</v>
      </c>
      <c r="G140">
        <v>3</v>
      </c>
      <c r="H140">
        <v>0.73493975903614461</v>
      </c>
      <c r="I140" s="89">
        <f>COUNTIF(G140:G144,G140)-1</f>
        <v>0</v>
      </c>
      <c r="J140" s="68"/>
      <c r="K140" s="67" t="str" cm="1">
        <f t="array" ref="K140:M144">_xlfn.SORTBY(K135:M139,L135:L139,-1,M135:M139,-1)</f>
        <v/>
      </c>
      <c r="L140">
        <v>-1</v>
      </c>
      <c r="M140" t="str">
        <v/>
      </c>
      <c r="N140" s="89">
        <f>COUNTIF(L140:L144,L140)-1</f>
        <v>4</v>
      </c>
      <c r="O140" s="68"/>
      <c r="P140" s="67" t="str" cm="1">
        <f t="array" ref="P140:R144">_xlfn.SORTBY(P135:R139,Q135:Q139,-1,R135:R139,-1)</f>
        <v/>
      </c>
      <c r="Q140">
        <v>-1</v>
      </c>
      <c r="R140" t="str">
        <v/>
      </c>
      <c r="S140" s="89">
        <f>COUNTIF(Q140:Q144,Q140)-1</f>
        <v>4</v>
      </c>
      <c r="T140" s="68"/>
    </row>
    <row r="141" spans="1:20" x14ac:dyDescent="0.25">
      <c r="A141" s="67" t="str">
        <v>University of team 12</v>
      </c>
      <c r="B141">
        <v>2</v>
      </c>
      <c r="C141">
        <v>0.48623853211009177</v>
      </c>
      <c r="D141" s="91">
        <f>COUNTIF(B140:B144,B141)-1</f>
        <v>1</v>
      </c>
      <c r="E141" s="68"/>
      <c r="F141" s="67" t="str">
        <v>University of team 31</v>
      </c>
      <c r="G141">
        <v>1</v>
      </c>
      <c r="H141">
        <v>0.53333333333333333</v>
      </c>
      <c r="I141" s="91">
        <f>COUNTIF(G140:G144,G141)-1</f>
        <v>2</v>
      </c>
      <c r="J141" s="68"/>
      <c r="K141" s="67" t="str">
        <v/>
      </c>
      <c r="L141">
        <v>-1</v>
      </c>
      <c r="M141" t="str">
        <v/>
      </c>
      <c r="N141" s="91">
        <f>COUNTIF(L140:L144,L141)-1</f>
        <v>4</v>
      </c>
      <c r="O141" s="68"/>
      <c r="P141" s="67" t="str">
        <v/>
      </c>
      <c r="Q141">
        <v>-1</v>
      </c>
      <c r="R141" t="str">
        <v/>
      </c>
      <c r="S141" s="91">
        <f>COUNTIF(Q140:Q144,Q141)-1</f>
        <v>4</v>
      </c>
      <c r="T141" s="68"/>
    </row>
    <row r="142" spans="1:20" x14ac:dyDescent="0.25">
      <c r="A142" s="67" t="str">
        <v>University of team 19</v>
      </c>
      <c r="B142">
        <v>1</v>
      </c>
      <c r="C142">
        <v>0.51063829787234039</v>
      </c>
      <c r="D142" s="91">
        <f>COUNTIF(B140:B144,B142)-1</f>
        <v>1</v>
      </c>
      <c r="E142" s="68"/>
      <c r="F142" s="67" t="str">
        <v>University of team 5</v>
      </c>
      <c r="G142">
        <v>1</v>
      </c>
      <c r="H142">
        <v>0.39325842696629215</v>
      </c>
      <c r="I142" s="91">
        <f>COUNTIF(G140:G144,G142)-1</f>
        <v>2</v>
      </c>
      <c r="J142" s="68"/>
      <c r="K142" s="67" t="str">
        <v/>
      </c>
      <c r="L142">
        <v>-1</v>
      </c>
      <c r="M142" t="str">
        <v/>
      </c>
      <c r="N142" s="91">
        <f>COUNTIF(L140:L144,L142)-1</f>
        <v>4</v>
      </c>
      <c r="O142" s="68"/>
      <c r="P142" s="67" t="str">
        <v/>
      </c>
      <c r="Q142">
        <v>-1</v>
      </c>
      <c r="R142" t="str">
        <v/>
      </c>
      <c r="S142" s="91">
        <f>COUNTIF(Q140:Q144,Q142)-1</f>
        <v>4</v>
      </c>
      <c r="T142" s="68"/>
    </row>
    <row r="143" spans="1:20" x14ac:dyDescent="0.25">
      <c r="A143" s="67" t="str">
        <v>University of team 23</v>
      </c>
      <c r="B143">
        <v>1</v>
      </c>
      <c r="C143">
        <v>0.44210526315789472</v>
      </c>
      <c r="D143" s="91">
        <f>COUNTIF(B140:B144,B143)-1</f>
        <v>1</v>
      </c>
      <c r="E143" s="68"/>
      <c r="F143" s="67" t="str">
        <v>University of team 15</v>
      </c>
      <c r="G143">
        <v>1</v>
      </c>
      <c r="H143">
        <v>0.35632183908045978</v>
      </c>
      <c r="I143" s="91">
        <f>COUNTIF(G140:G144,G143)-1</f>
        <v>2</v>
      </c>
      <c r="J143" s="68"/>
      <c r="K143" s="67" t="str">
        <v/>
      </c>
      <c r="L143">
        <v>-1</v>
      </c>
      <c r="M143" t="str">
        <v/>
      </c>
      <c r="N143" s="91">
        <f>COUNTIF(L140:L144,L143)-1</f>
        <v>4</v>
      </c>
      <c r="O143" s="68"/>
      <c r="P143" s="67" t="str">
        <v/>
      </c>
      <c r="Q143">
        <v>-1</v>
      </c>
      <c r="R143" t="str">
        <v/>
      </c>
      <c r="S143" s="91">
        <f>COUNTIF(Q140:Q144,Q143)-1</f>
        <v>4</v>
      </c>
      <c r="T143" s="68"/>
    </row>
    <row r="144" spans="1:20" ht="15.75" thickBot="1" x14ac:dyDescent="0.3">
      <c r="A144" s="95" t="str">
        <v/>
      </c>
      <c r="B144" s="96">
        <v>-1</v>
      </c>
      <c r="C144" s="96" t="str">
        <v/>
      </c>
      <c r="D144" s="97">
        <f>COUNTIF(B140:B144,B144)-1</f>
        <v>0</v>
      </c>
      <c r="E144" s="98"/>
      <c r="F144" s="95" t="str">
        <v/>
      </c>
      <c r="G144" s="96">
        <v>-1</v>
      </c>
      <c r="H144" s="96" t="str">
        <v/>
      </c>
      <c r="I144" s="97">
        <f>COUNTIF(G140:G144,G144)-1</f>
        <v>0</v>
      </c>
      <c r="J144" s="98"/>
      <c r="K144" s="95" t="str">
        <v/>
      </c>
      <c r="L144" s="96">
        <v>-1</v>
      </c>
      <c r="M144" s="96" t="str">
        <v/>
      </c>
      <c r="N144" s="97">
        <f>COUNTIF(L140:L144,L144)-1</f>
        <v>4</v>
      </c>
      <c r="O144" s="98"/>
      <c r="P144" s="95" t="str">
        <v/>
      </c>
      <c r="Q144" s="96">
        <v>-1</v>
      </c>
      <c r="R144" s="96" t="str">
        <v/>
      </c>
      <c r="S144" s="97">
        <f>COUNTIF(Q140:Q144,Q144)-1</f>
        <v>4</v>
      </c>
      <c r="T144" s="98"/>
    </row>
    <row r="145" spans="1:2" ht="15.75" thickTop="1" x14ac:dyDescent="0.25"/>
    <row r="149" spans="1:2" x14ac:dyDescent="0.25">
      <c r="A149" t="s">
        <v>74</v>
      </c>
    </row>
    <row r="150" spans="1:2" x14ac:dyDescent="0.25">
      <c r="A150" s="112" t="str" cm="1">
        <f t="array" ref="A150:A154">'Teams in Pools'!A2:A6</f>
        <v>University of team 16</v>
      </c>
      <c r="B150" s="112">
        <v>1</v>
      </c>
    </row>
    <row r="151" spans="1:2" x14ac:dyDescent="0.25">
      <c r="A151" s="112" t="str">
        <v>University of team 14</v>
      </c>
      <c r="B151" s="112">
        <v>1</v>
      </c>
    </row>
    <row r="152" spans="1:2" x14ac:dyDescent="0.25">
      <c r="A152" s="112" t="str">
        <v>University of team 20</v>
      </c>
      <c r="B152" s="112">
        <v>1</v>
      </c>
    </row>
    <row r="153" spans="1:2" x14ac:dyDescent="0.25">
      <c r="A153" s="112" t="str">
        <v>University of team 34</v>
      </c>
      <c r="B153" s="112">
        <v>1</v>
      </c>
    </row>
    <row r="154" spans="1:2" x14ac:dyDescent="0.25">
      <c r="A154" s="112">
        <v>0</v>
      </c>
      <c r="B154" s="112">
        <v>1</v>
      </c>
    </row>
    <row r="155" spans="1:2" x14ac:dyDescent="0.25">
      <c r="A155" t="str" cm="1">
        <f t="array" ref="A155:A159">'Teams in Pools'!A8:A12</f>
        <v>University of team 35</v>
      </c>
      <c r="B155">
        <v>2</v>
      </c>
    </row>
    <row r="156" spans="1:2" x14ac:dyDescent="0.25">
      <c r="A156" t="str">
        <v>University of team 13</v>
      </c>
      <c r="B156">
        <v>2</v>
      </c>
    </row>
    <row r="157" spans="1:2" x14ac:dyDescent="0.25">
      <c r="A157" t="str">
        <v>University of team 18</v>
      </c>
      <c r="B157">
        <v>2</v>
      </c>
    </row>
    <row r="158" spans="1:2" x14ac:dyDescent="0.25">
      <c r="A158" t="str">
        <v>University of team 32</v>
      </c>
      <c r="B158">
        <v>2</v>
      </c>
    </row>
    <row r="159" spans="1:2" x14ac:dyDescent="0.25">
      <c r="A159">
        <v>0</v>
      </c>
      <c r="B159">
        <v>2</v>
      </c>
    </row>
    <row r="160" spans="1:2" x14ac:dyDescent="0.25">
      <c r="A160" s="112" t="str" cm="1">
        <f t="array" ref="A160:A164">'Teams in Pools'!A14:A18</f>
        <v>University of team 29</v>
      </c>
      <c r="B160" s="112">
        <v>3</v>
      </c>
    </row>
    <row r="161" spans="1:2" x14ac:dyDescent="0.25">
      <c r="A161" s="112" t="str">
        <v>University of team 30</v>
      </c>
      <c r="B161" s="112">
        <v>3</v>
      </c>
    </row>
    <row r="162" spans="1:2" x14ac:dyDescent="0.25">
      <c r="A162" s="112" t="str">
        <v>University of team 28</v>
      </c>
      <c r="B162" s="112">
        <v>3</v>
      </c>
    </row>
    <row r="163" spans="1:2" x14ac:dyDescent="0.25">
      <c r="A163" s="112" t="str">
        <v>University of team 27</v>
      </c>
      <c r="B163" s="112">
        <v>3</v>
      </c>
    </row>
    <row r="164" spans="1:2" x14ac:dyDescent="0.25">
      <c r="A164" s="112">
        <v>0</v>
      </c>
      <c r="B164" s="112">
        <v>3</v>
      </c>
    </row>
    <row r="165" spans="1:2" x14ac:dyDescent="0.25">
      <c r="A165" t="str" cm="1">
        <f t="array" ref="A165:A169">'Teams in Pools'!A20:A24</f>
        <v>University of team 19</v>
      </c>
      <c r="B165">
        <v>4</v>
      </c>
    </row>
    <row r="166" spans="1:2" x14ac:dyDescent="0.25">
      <c r="A166" t="str">
        <v>University of team 2</v>
      </c>
      <c r="B166">
        <v>4</v>
      </c>
    </row>
    <row r="167" spans="1:2" x14ac:dyDescent="0.25">
      <c r="A167" t="str">
        <v>University of team 12</v>
      </c>
      <c r="B167">
        <v>4</v>
      </c>
    </row>
    <row r="168" spans="1:2" x14ac:dyDescent="0.25">
      <c r="A168" t="str">
        <v>University of team 23</v>
      </c>
      <c r="B168">
        <v>4</v>
      </c>
    </row>
    <row r="169" spans="1:2" x14ac:dyDescent="0.25">
      <c r="A169">
        <v>0</v>
      </c>
      <c r="B169">
        <v>4</v>
      </c>
    </row>
    <row r="170" spans="1:2" x14ac:dyDescent="0.25">
      <c r="A170" s="112" t="str" cm="1">
        <f t="array" ref="A170:A174">'Teams in Pools'!C2:C6</f>
        <v>University of team 25</v>
      </c>
      <c r="B170" s="112">
        <v>5</v>
      </c>
    </row>
    <row r="171" spans="1:2" x14ac:dyDescent="0.25">
      <c r="A171" s="112" t="str">
        <v>University of team 7</v>
      </c>
      <c r="B171" s="112">
        <v>5</v>
      </c>
    </row>
    <row r="172" spans="1:2" x14ac:dyDescent="0.25">
      <c r="A172" s="112" t="str">
        <v>University of team 6</v>
      </c>
      <c r="B172" s="112">
        <v>5</v>
      </c>
    </row>
    <row r="173" spans="1:2" x14ac:dyDescent="0.25">
      <c r="A173" s="112" t="str">
        <v>University of team 10</v>
      </c>
      <c r="B173" s="112">
        <v>5</v>
      </c>
    </row>
    <row r="174" spans="1:2" x14ac:dyDescent="0.25">
      <c r="A174" s="112">
        <v>0</v>
      </c>
      <c r="B174" s="112">
        <v>5</v>
      </c>
    </row>
    <row r="175" spans="1:2" x14ac:dyDescent="0.25">
      <c r="A175" t="str" cm="1">
        <f t="array" ref="A175:A179">'Teams in Pools'!C8:C12</f>
        <v>University of team 9</v>
      </c>
      <c r="B175">
        <v>6</v>
      </c>
    </row>
    <row r="176" spans="1:2" x14ac:dyDescent="0.25">
      <c r="A176" t="str">
        <v>University of team 21</v>
      </c>
      <c r="B176">
        <v>6</v>
      </c>
    </row>
    <row r="177" spans="1:2" x14ac:dyDescent="0.25">
      <c r="A177" t="str">
        <v>University of team 11</v>
      </c>
      <c r="B177">
        <v>6</v>
      </c>
    </row>
    <row r="178" spans="1:2" x14ac:dyDescent="0.25">
      <c r="A178" t="str">
        <v>University of team 8</v>
      </c>
      <c r="B178">
        <v>6</v>
      </c>
    </row>
    <row r="179" spans="1:2" x14ac:dyDescent="0.25">
      <c r="A179">
        <v>0</v>
      </c>
      <c r="B179">
        <v>6</v>
      </c>
    </row>
    <row r="180" spans="1:2" x14ac:dyDescent="0.25">
      <c r="A180" s="112" t="str" cm="1">
        <f t="array" ref="A180:A184">'Teams in Pools'!C14:C18</f>
        <v>University of team 22</v>
      </c>
      <c r="B180" s="112">
        <v>7</v>
      </c>
    </row>
    <row r="181" spans="1:2" x14ac:dyDescent="0.25">
      <c r="A181" s="112" t="str">
        <v>University of team 26</v>
      </c>
      <c r="B181" s="112">
        <v>7</v>
      </c>
    </row>
    <row r="182" spans="1:2" x14ac:dyDescent="0.25">
      <c r="A182" s="112" t="str">
        <v>University of team 24</v>
      </c>
      <c r="B182" s="112">
        <v>7</v>
      </c>
    </row>
    <row r="183" spans="1:2" x14ac:dyDescent="0.25">
      <c r="A183" s="112" t="str">
        <v>University of team 17</v>
      </c>
      <c r="B183" s="112">
        <v>7</v>
      </c>
    </row>
    <row r="184" spans="1:2" x14ac:dyDescent="0.25">
      <c r="A184" s="112">
        <v>0</v>
      </c>
      <c r="B184" s="112">
        <v>7</v>
      </c>
    </row>
    <row r="185" spans="1:2" x14ac:dyDescent="0.25">
      <c r="A185" t="str" cm="1">
        <f t="array" ref="A185:A189">'Teams in Pools'!C20:C24</f>
        <v>University of team 5</v>
      </c>
      <c r="B185">
        <v>8</v>
      </c>
    </row>
    <row r="186" spans="1:2" x14ac:dyDescent="0.25">
      <c r="A186" t="str">
        <v>University of team 15</v>
      </c>
      <c r="B186">
        <v>8</v>
      </c>
    </row>
    <row r="187" spans="1:2" x14ac:dyDescent="0.25">
      <c r="A187" t="str">
        <v>University of team 31</v>
      </c>
      <c r="B187">
        <v>8</v>
      </c>
    </row>
    <row r="188" spans="1:2" x14ac:dyDescent="0.25">
      <c r="A188" t="str">
        <v>University of team 4</v>
      </c>
      <c r="B188">
        <v>8</v>
      </c>
    </row>
    <row r="189" spans="1:2" x14ac:dyDescent="0.25">
      <c r="A189">
        <v>0</v>
      </c>
      <c r="B189">
        <v>8</v>
      </c>
    </row>
    <row r="190" spans="1:2" x14ac:dyDescent="0.25">
      <c r="A190" s="112" t="str" cm="1">
        <f t="array" ref="A190:A194">'Teams in Pools'!E2:E6</f>
        <v>University of team 33</v>
      </c>
      <c r="B190" s="112">
        <v>9</v>
      </c>
    </row>
    <row r="191" spans="1:2" x14ac:dyDescent="0.25">
      <c r="A191" s="112" t="str">
        <v>University of team 1</v>
      </c>
      <c r="B191" s="112">
        <v>9</v>
      </c>
    </row>
    <row r="192" spans="1:2" x14ac:dyDescent="0.25">
      <c r="A192" s="112" t="str">
        <v>University of team 3</v>
      </c>
      <c r="B192" s="112">
        <v>9</v>
      </c>
    </row>
    <row r="193" spans="1:2" x14ac:dyDescent="0.25">
      <c r="A193" s="112" t="str">
        <v>University of team 36</v>
      </c>
      <c r="B193" s="112">
        <v>9</v>
      </c>
    </row>
    <row r="194" spans="1:2" x14ac:dyDescent="0.25">
      <c r="A194" s="112">
        <v>0</v>
      </c>
      <c r="B194" s="112">
        <v>9</v>
      </c>
    </row>
    <row r="195" spans="1:2" x14ac:dyDescent="0.25">
      <c r="A195" cm="1">
        <f t="array" ref="A195:A199">'Teams in Pools'!E8:E12</f>
        <v>0</v>
      </c>
      <c r="B195">
        <v>10</v>
      </c>
    </row>
    <row r="196" spans="1:2" x14ac:dyDescent="0.25">
      <c r="A196">
        <v>0</v>
      </c>
      <c r="B196">
        <v>10</v>
      </c>
    </row>
    <row r="197" spans="1:2" x14ac:dyDescent="0.25">
      <c r="A197">
        <v>0</v>
      </c>
      <c r="B197">
        <v>10</v>
      </c>
    </row>
    <row r="198" spans="1:2" x14ac:dyDescent="0.25">
      <c r="A198">
        <v>0</v>
      </c>
      <c r="B198">
        <v>10</v>
      </c>
    </row>
    <row r="199" spans="1:2" x14ac:dyDescent="0.25">
      <c r="A199">
        <v>0</v>
      </c>
      <c r="B199">
        <v>10</v>
      </c>
    </row>
    <row r="200" spans="1:2" x14ac:dyDescent="0.25">
      <c r="A200" s="112" cm="1">
        <f t="array" ref="A200:A204">'Teams in Pools'!E14:E18</f>
        <v>0</v>
      </c>
      <c r="B200" s="112">
        <v>11</v>
      </c>
    </row>
    <row r="201" spans="1:2" x14ac:dyDescent="0.25">
      <c r="A201" s="112">
        <v>0</v>
      </c>
      <c r="B201" s="112">
        <v>11</v>
      </c>
    </row>
    <row r="202" spans="1:2" x14ac:dyDescent="0.25">
      <c r="A202" s="112">
        <v>0</v>
      </c>
      <c r="B202" s="112">
        <v>11</v>
      </c>
    </row>
    <row r="203" spans="1:2" x14ac:dyDescent="0.25">
      <c r="A203" s="112">
        <v>0</v>
      </c>
      <c r="B203" s="112">
        <v>11</v>
      </c>
    </row>
    <row r="204" spans="1:2" x14ac:dyDescent="0.25">
      <c r="A204" s="112">
        <v>0</v>
      </c>
      <c r="B204" s="112">
        <v>11</v>
      </c>
    </row>
    <row r="205" spans="1:2" x14ac:dyDescent="0.25">
      <c r="A205" cm="1">
        <f t="array" ref="A205:A209">'Teams in Pools'!E20:E24</f>
        <v>0</v>
      </c>
      <c r="B205">
        <v>12</v>
      </c>
    </row>
    <row r="206" spans="1:2" x14ac:dyDescent="0.25">
      <c r="A206">
        <v>0</v>
      </c>
      <c r="B206">
        <v>12</v>
      </c>
    </row>
    <row r="207" spans="1:2" x14ac:dyDescent="0.25">
      <c r="A207">
        <v>0</v>
      </c>
      <c r="B207">
        <v>12</v>
      </c>
    </row>
    <row r="208" spans="1:2" x14ac:dyDescent="0.25">
      <c r="A208">
        <v>0</v>
      </c>
      <c r="B208">
        <v>12</v>
      </c>
    </row>
    <row r="209" spans="1:2" x14ac:dyDescent="0.25">
      <c r="A209">
        <v>0</v>
      </c>
      <c r="B209">
        <v>12</v>
      </c>
    </row>
    <row r="210" spans="1:2" x14ac:dyDescent="0.25">
      <c r="A210" s="112" cm="1">
        <f t="array" ref="A210:A214">'Teams in Pools'!G2:G6</f>
        <v>0</v>
      </c>
      <c r="B210" s="112">
        <v>13</v>
      </c>
    </row>
    <row r="211" spans="1:2" x14ac:dyDescent="0.25">
      <c r="A211" s="112">
        <v>0</v>
      </c>
      <c r="B211" s="112">
        <v>13</v>
      </c>
    </row>
    <row r="212" spans="1:2" x14ac:dyDescent="0.25">
      <c r="A212" s="112">
        <v>0</v>
      </c>
      <c r="B212" s="112">
        <v>13</v>
      </c>
    </row>
    <row r="213" spans="1:2" x14ac:dyDescent="0.25">
      <c r="A213" s="112">
        <v>0</v>
      </c>
      <c r="B213" s="112">
        <v>13</v>
      </c>
    </row>
    <row r="214" spans="1:2" x14ac:dyDescent="0.25">
      <c r="A214" s="112">
        <v>0</v>
      </c>
      <c r="B214" s="112">
        <v>13</v>
      </c>
    </row>
    <row r="215" spans="1:2" x14ac:dyDescent="0.25">
      <c r="A215" cm="1">
        <f t="array" ref="A215:A219">'Teams in Pools'!G8:G12</f>
        <v>0</v>
      </c>
      <c r="B215">
        <v>14</v>
      </c>
    </row>
    <row r="216" spans="1:2" x14ac:dyDescent="0.25">
      <c r="A216">
        <v>0</v>
      </c>
      <c r="B216">
        <v>14</v>
      </c>
    </row>
    <row r="217" spans="1:2" x14ac:dyDescent="0.25">
      <c r="A217">
        <v>0</v>
      </c>
      <c r="B217">
        <v>14</v>
      </c>
    </row>
    <row r="218" spans="1:2" x14ac:dyDescent="0.25">
      <c r="A218">
        <v>0</v>
      </c>
      <c r="B218">
        <v>14</v>
      </c>
    </row>
    <row r="219" spans="1:2" x14ac:dyDescent="0.25">
      <c r="A219">
        <v>0</v>
      </c>
      <c r="B219">
        <v>14</v>
      </c>
    </row>
    <row r="220" spans="1:2" x14ac:dyDescent="0.25">
      <c r="A220" s="112" cm="1">
        <f t="array" ref="A220:A224">'Teams in Pools'!G14:G18</f>
        <v>0</v>
      </c>
      <c r="B220" s="112">
        <v>15</v>
      </c>
    </row>
    <row r="221" spans="1:2" x14ac:dyDescent="0.25">
      <c r="A221" s="112">
        <v>0</v>
      </c>
      <c r="B221" s="112">
        <v>15</v>
      </c>
    </row>
    <row r="222" spans="1:2" x14ac:dyDescent="0.25">
      <c r="A222" s="112">
        <v>0</v>
      </c>
      <c r="B222" s="112">
        <v>15</v>
      </c>
    </row>
    <row r="223" spans="1:2" x14ac:dyDescent="0.25">
      <c r="A223" s="112">
        <v>0</v>
      </c>
      <c r="B223" s="112">
        <v>15</v>
      </c>
    </row>
    <row r="224" spans="1:2" x14ac:dyDescent="0.25">
      <c r="A224" s="112">
        <v>0</v>
      </c>
      <c r="B224" s="112">
        <v>15</v>
      </c>
    </row>
    <row r="225" spans="1:2" x14ac:dyDescent="0.25">
      <c r="A225" cm="1">
        <f t="array" ref="A225:A229">'Teams in Pools'!G20:G24</f>
        <v>0</v>
      </c>
      <c r="B225">
        <v>16</v>
      </c>
    </row>
    <row r="226" spans="1:2" x14ac:dyDescent="0.25">
      <c r="A226">
        <v>0</v>
      </c>
      <c r="B226">
        <v>16</v>
      </c>
    </row>
    <row r="227" spans="1:2" x14ac:dyDescent="0.25">
      <c r="A227">
        <v>0</v>
      </c>
      <c r="B227">
        <v>16</v>
      </c>
    </row>
    <row r="228" spans="1:2" x14ac:dyDescent="0.25">
      <c r="A228">
        <v>0</v>
      </c>
      <c r="B228">
        <v>16</v>
      </c>
    </row>
    <row r="229" spans="1:2" x14ac:dyDescent="0.25">
      <c r="A229">
        <v>0</v>
      </c>
      <c r="B229">
        <v>16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9C714-7238-4971-A534-80AA7E821516}">
  <sheetPr codeName="Sheet7">
    <tabColor rgb="FFFFFF00"/>
  </sheetPr>
  <dimension ref="A2:D23"/>
  <sheetViews>
    <sheetView workbookViewId="0">
      <selection activeCell="D27" sqref="D27"/>
    </sheetView>
  </sheetViews>
  <sheetFormatPr defaultRowHeight="15" x14ac:dyDescent="0.25"/>
  <cols>
    <col min="1" max="1" width="49.28515625" style="4" customWidth="1"/>
    <col min="2" max="2" width="9.140625" style="4"/>
    <col min="3" max="3" width="43.7109375" style="4" customWidth="1"/>
    <col min="4" max="16384" width="9.140625" style="4"/>
  </cols>
  <sheetData>
    <row r="2" spans="1:4" x14ac:dyDescent="0.25">
      <c r="A2" s="4" t="s">
        <v>21</v>
      </c>
      <c r="B2" s="26">
        <f>16-COUNTBLANK(PoolCount)</f>
        <v>9</v>
      </c>
    </row>
    <row r="3" spans="1:4" x14ac:dyDescent="0.25">
      <c r="A3" s="4" t="s">
        <v>30</v>
      </c>
      <c r="B3" s="26">
        <f>COUNTIF(Calculations!A150:A229,"?*")</f>
        <v>36</v>
      </c>
      <c r="C3" s="27" t="s">
        <v>56</v>
      </c>
    </row>
    <row r="4" spans="1:4" x14ac:dyDescent="0.25">
      <c r="A4" s="4" t="s">
        <v>31</v>
      </c>
      <c r="B4" s="28">
        <v>3</v>
      </c>
      <c r="C4" s="29" t="s">
        <v>119</v>
      </c>
    </row>
    <row r="5" spans="1:4" x14ac:dyDescent="0.25">
      <c r="A5" s="27" t="s">
        <v>61</v>
      </c>
      <c r="B5" s="25">
        <f>B3/B4</f>
        <v>12</v>
      </c>
    </row>
    <row r="6" spans="1:4" x14ac:dyDescent="0.25">
      <c r="A6" s="4" t="s">
        <v>57</v>
      </c>
      <c r="B6" s="25">
        <v>12</v>
      </c>
    </row>
    <row r="7" spans="1:4" x14ac:dyDescent="0.25">
      <c r="A7" s="4" t="s">
        <v>58</v>
      </c>
      <c r="B7" s="25">
        <v>12</v>
      </c>
    </row>
    <row r="8" spans="1:4" x14ac:dyDescent="0.25">
      <c r="A8" s="4" t="s">
        <v>59</v>
      </c>
      <c r="B8" s="25">
        <v>12</v>
      </c>
    </row>
    <row r="9" spans="1:4" x14ac:dyDescent="0.25">
      <c r="A9" s="4" t="s">
        <v>60</v>
      </c>
      <c r="B9" s="25">
        <v>0</v>
      </c>
    </row>
    <row r="10" spans="1:4" x14ac:dyDescent="0.25">
      <c r="A10" s="4" t="s">
        <v>103</v>
      </c>
      <c r="B10" s="25">
        <v>16</v>
      </c>
      <c r="C10" s="4" t="s">
        <v>120</v>
      </c>
    </row>
    <row r="11" spans="1:4" x14ac:dyDescent="0.25">
      <c r="A11" s="4" t="s">
        <v>104</v>
      </c>
      <c r="B11" s="30">
        <v>1</v>
      </c>
      <c r="C11" s="4" t="s">
        <v>105</v>
      </c>
    </row>
    <row r="12" spans="1:4" x14ac:dyDescent="0.25">
      <c r="A12" s="4" t="s">
        <v>117</v>
      </c>
      <c r="B12" s="31">
        <v>0</v>
      </c>
      <c r="C12" s="4" t="s">
        <v>118</v>
      </c>
      <c r="D12" s="4" t="s">
        <v>125</v>
      </c>
    </row>
    <row r="13" spans="1:4" x14ac:dyDescent="0.25">
      <c r="A13" s="4" t="s">
        <v>62</v>
      </c>
      <c r="B13" s="30">
        <v>1</v>
      </c>
      <c r="C13" s="4" t="s">
        <v>63</v>
      </c>
    </row>
    <row r="14" spans="1:4" x14ac:dyDescent="0.25">
      <c r="A14" s="4" t="s">
        <v>64</v>
      </c>
      <c r="B14" s="30">
        <v>0</v>
      </c>
      <c r="C14" s="4" t="s">
        <v>65</v>
      </c>
    </row>
    <row r="15" spans="1:4" x14ac:dyDescent="0.25">
      <c r="A15" s="4" t="s">
        <v>123</v>
      </c>
      <c r="B15" s="24">
        <v>1</v>
      </c>
      <c r="C15" s="4" t="s">
        <v>65</v>
      </c>
    </row>
    <row r="16" spans="1:4" x14ac:dyDescent="0.25">
      <c r="A16" s="4" t="s">
        <v>124</v>
      </c>
      <c r="B16" s="24">
        <v>36</v>
      </c>
      <c r="C16" s="4" t="s">
        <v>126</v>
      </c>
    </row>
    <row r="17" spans="1:3" x14ac:dyDescent="0.25">
      <c r="A17" s="4" t="s">
        <v>127</v>
      </c>
      <c r="B17" s="24">
        <v>3</v>
      </c>
      <c r="C17" s="29" t="s">
        <v>128</v>
      </c>
    </row>
    <row r="18" spans="1:3" x14ac:dyDescent="0.25">
      <c r="A18" s="4" t="s">
        <v>129</v>
      </c>
      <c r="B18" s="24">
        <f>ROUNDUP(B16/B17,0)</f>
        <v>12</v>
      </c>
    </row>
    <row r="19" spans="1:3" x14ac:dyDescent="0.25">
      <c r="A19" s="27" t="s">
        <v>218</v>
      </c>
      <c r="B19" s="24">
        <f>B16/B17</f>
        <v>12</v>
      </c>
    </row>
    <row r="20" spans="1:3" x14ac:dyDescent="0.25">
      <c r="A20" s="4" t="s">
        <v>214</v>
      </c>
      <c r="B20" s="24">
        <v>16</v>
      </c>
    </row>
    <row r="21" spans="1:3" x14ac:dyDescent="0.25">
      <c r="A21" s="4" t="s">
        <v>215</v>
      </c>
      <c r="B21" s="24">
        <v>10</v>
      </c>
    </row>
    <row r="22" spans="1:3" x14ac:dyDescent="0.25">
      <c r="A22" s="4" t="s">
        <v>216</v>
      </c>
      <c r="B22" s="24">
        <v>10</v>
      </c>
    </row>
    <row r="23" spans="1:3" x14ac:dyDescent="0.25">
      <c r="A23" s="4" t="s">
        <v>217</v>
      </c>
      <c r="B23" s="24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B0195-FA00-4024-AC37-3BB835E365C6}">
  <sheetPr codeName="Sheet6">
    <tabColor rgb="FFFFFF00"/>
  </sheetPr>
  <dimension ref="B1:BA25"/>
  <sheetViews>
    <sheetView zoomScale="157" zoomScaleNormal="157" workbookViewId="0"/>
  </sheetViews>
  <sheetFormatPr defaultColWidth="4.28515625" defaultRowHeight="20.100000000000001" customHeight="1" x14ac:dyDescent="0.25"/>
  <cols>
    <col min="1" max="16384" width="4.28515625" style="4"/>
  </cols>
  <sheetData>
    <row r="1" spans="2:53" ht="20.100000000000001" customHeight="1" thickBot="1" x14ac:dyDescent="0.3"/>
    <row r="2" spans="2:53" ht="20.100000000000001" customHeight="1" thickTop="1" thickBot="1" x14ac:dyDescent="0.3">
      <c r="B2" s="297"/>
      <c r="C2" s="298"/>
      <c r="D2" s="303"/>
      <c r="E2" s="304"/>
      <c r="F2" s="5"/>
      <c r="O2" s="297"/>
      <c r="P2" s="298"/>
      <c r="Q2" s="303"/>
      <c r="R2" s="304"/>
      <c r="S2" s="5"/>
      <c r="AB2" s="297"/>
      <c r="AC2" s="298"/>
      <c r="AD2" s="303"/>
      <c r="AE2" s="304"/>
      <c r="AF2" s="5"/>
      <c r="AO2" s="297"/>
      <c r="AP2" s="298"/>
      <c r="AQ2" s="303"/>
      <c r="AR2" s="304"/>
      <c r="AS2" s="5"/>
    </row>
    <row r="3" spans="2:53" ht="20.100000000000001" customHeight="1" thickTop="1" thickBot="1" x14ac:dyDescent="0.3">
      <c r="B3" s="299"/>
      <c r="C3" s="300"/>
      <c r="D3" s="6"/>
      <c r="E3" s="7"/>
      <c r="F3" s="305"/>
      <c r="G3" s="306"/>
      <c r="H3" s="5"/>
      <c r="O3" s="299"/>
      <c r="P3" s="300"/>
      <c r="Q3" s="6"/>
      <c r="R3" s="7"/>
      <c r="S3" s="305"/>
      <c r="T3" s="306"/>
      <c r="U3" s="5"/>
      <c r="AB3" s="299"/>
      <c r="AC3" s="300"/>
      <c r="AD3" s="6"/>
      <c r="AE3" s="7"/>
      <c r="AF3" s="305"/>
      <c r="AG3" s="306"/>
      <c r="AH3" s="5"/>
      <c r="AO3" s="299"/>
      <c r="AP3" s="300"/>
      <c r="AQ3" s="6"/>
      <c r="AR3" s="7"/>
      <c r="AS3" s="305"/>
      <c r="AT3" s="306"/>
      <c r="AU3" s="5"/>
    </row>
    <row r="4" spans="2:53" ht="20.100000000000001" customHeight="1" thickTop="1" thickBot="1" x14ac:dyDescent="0.3">
      <c r="B4" s="299"/>
      <c r="C4" s="300"/>
      <c r="D4" s="8"/>
      <c r="E4" s="9"/>
      <c r="F4" s="10"/>
      <c r="G4" s="11"/>
      <c r="H4" s="307"/>
      <c r="I4" s="308"/>
      <c r="J4" s="5"/>
      <c r="O4" s="299"/>
      <c r="P4" s="300"/>
      <c r="Q4" s="8"/>
      <c r="R4" s="9"/>
      <c r="S4" s="10"/>
      <c r="T4" s="11"/>
      <c r="U4" s="307"/>
      <c r="V4" s="308"/>
      <c r="W4" s="5"/>
      <c r="AB4" s="299"/>
      <c r="AC4" s="300"/>
      <c r="AD4" s="8"/>
      <c r="AE4" s="9"/>
      <c r="AF4" s="10"/>
      <c r="AG4" s="11"/>
      <c r="AH4" s="307"/>
      <c r="AI4" s="308"/>
      <c r="AJ4" s="5"/>
      <c r="AO4" s="299"/>
      <c r="AP4" s="300"/>
      <c r="AQ4" s="8"/>
      <c r="AR4" s="9"/>
      <c r="AS4" s="10"/>
      <c r="AT4" s="11"/>
      <c r="AU4" s="307"/>
      <c r="AV4" s="308"/>
      <c r="AW4" s="5"/>
    </row>
    <row r="5" spans="2:53" ht="20.100000000000001" customHeight="1" thickTop="1" thickBot="1" x14ac:dyDescent="0.3">
      <c r="B5" s="299"/>
      <c r="C5" s="300"/>
      <c r="D5" s="8"/>
      <c r="E5" s="12"/>
      <c r="F5" s="13"/>
      <c r="G5" s="12"/>
      <c r="H5" s="14"/>
      <c r="I5" s="15"/>
      <c r="J5" s="309"/>
      <c r="K5" s="310"/>
      <c r="L5" s="5"/>
      <c r="O5" s="299"/>
      <c r="P5" s="300"/>
      <c r="Q5" s="8"/>
      <c r="R5" s="12"/>
      <c r="S5" s="13"/>
      <c r="T5" s="12"/>
      <c r="U5" s="14"/>
      <c r="V5" s="15"/>
      <c r="W5" s="309"/>
      <c r="X5" s="310"/>
      <c r="Y5" s="5"/>
      <c r="AB5" s="299"/>
      <c r="AC5" s="300"/>
      <c r="AD5" s="8"/>
      <c r="AE5" s="12"/>
      <c r="AF5" s="13"/>
      <c r="AG5" s="12"/>
      <c r="AH5" s="14"/>
      <c r="AI5" s="15"/>
      <c r="AJ5" s="309"/>
      <c r="AK5" s="310"/>
      <c r="AL5" s="5"/>
      <c r="AO5" s="299"/>
      <c r="AP5" s="300"/>
      <c r="AQ5" s="8"/>
      <c r="AR5" s="12"/>
      <c r="AS5" s="13"/>
      <c r="AT5" s="12"/>
      <c r="AU5" s="14"/>
      <c r="AV5" s="15"/>
      <c r="AW5" s="309"/>
      <c r="AX5" s="310"/>
      <c r="AY5" s="5"/>
    </row>
    <row r="6" spans="2:53" ht="20.100000000000001" customHeight="1" thickTop="1" thickBot="1" x14ac:dyDescent="0.3">
      <c r="B6" s="301"/>
      <c r="C6" s="302"/>
      <c r="D6" s="16"/>
      <c r="E6" s="17"/>
      <c r="F6" s="18"/>
      <c r="G6" s="17"/>
      <c r="H6" s="19"/>
      <c r="I6" s="17"/>
      <c r="J6" s="20"/>
      <c r="K6" s="21"/>
      <c r="L6" s="313"/>
      <c r="M6" s="314"/>
      <c r="N6" s="5"/>
      <c r="O6" s="301"/>
      <c r="P6" s="302"/>
      <c r="Q6" s="16"/>
      <c r="R6" s="17"/>
      <c r="S6" s="18"/>
      <c r="T6" s="17"/>
      <c r="U6" s="19"/>
      <c r="V6" s="17"/>
      <c r="W6" s="20"/>
      <c r="X6" s="21"/>
      <c r="Y6" s="313"/>
      <c r="Z6" s="314"/>
      <c r="AA6" s="5"/>
      <c r="AB6" s="301"/>
      <c r="AC6" s="302"/>
      <c r="AD6" s="16"/>
      <c r="AE6" s="17"/>
      <c r="AF6" s="18"/>
      <c r="AG6" s="17"/>
      <c r="AH6" s="19"/>
      <c r="AI6" s="17"/>
      <c r="AJ6" s="20"/>
      <c r="AK6" s="21"/>
      <c r="AL6" s="313"/>
      <c r="AM6" s="314"/>
      <c r="AN6" s="5"/>
      <c r="AO6" s="301"/>
      <c r="AP6" s="302"/>
      <c r="AQ6" s="16"/>
      <c r="AR6" s="17"/>
      <c r="AS6" s="18"/>
      <c r="AT6" s="17"/>
      <c r="AU6" s="19"/>
      <c r="AV6" s="17"/>
      <c r="AW6" s="20"/>
      <c r="AX6" s="21"/>
      <c r="AY6" s="313"/>
      <c r="AZ6" s="314"/>
      <c r="BA6" s="5"/>
    </row>
    <row r="7" spans="2:53" ht="20.100000000000001" customHeight="1" thickTop="1" thickBot="1" x14ac:dyDescent="0.3"/>
    <row r="8" spans="2:53" ht="20.100000000000001" customHeight="1" thickTop="1" thickBot="1" x14ac:dyDescent="0.3">
      <c r="B8" s="297"/>
      <c r="C8" s="298"/>
      <c r="D8" s="303"/>
      <c r="E8" s="304"/>
      <c r="F8" s="5"/>
      <c r="O8" s="297"/>
      <c r="P8" s="298"/>
      <c r="Q8" s="303"/>
      <c r="R8" s="304"/>
      <c r="S8" s="5"/>
      <c r="AB8" s="297"/>
      <c r="AC8" s="298"/>
      <c r="AD8" s="315"/>
      <c r="AE8" s="316"/>
      <c r="AF8" s="5"/>
      <c r="AO8" s="297"/>
      <c r="AP8" s="298"/>
      <c r="AQ8" s="303"/>
      <c r="AR8" s="304"/>
      <c r="AS8" s="5"/>
    </row>
    <row r="9" spans="2:53" ht="20.100000000000001" customHeight="1" thickTop="1" thickBot="1" x14ac:dyDescent="0.3">
      <c r="B9" s="299"/>
      <c r="C9" s="300"/>
      <c r="D9" s="6"/>
      <c r="E9" s="7"/>
      <c r="F9" s="305"/>
      <c r="G9" s="306"/>
      <c r="H9" s="5"/>
      <c r="O9" s="299"/>
      <c r="P9" s="300"/>
      <c r="Q9" s="6"/>
      <c r="R9" s="7"/>
      <c r="S9" s="305"/>
      <c r="T9" s="306"/>
      <c r="U9" s="5"/>
      <c r="AB9" s="299"/>
      <c r="AC9" s="300"/>
      <c r="AD9" s="8"/>
      <c r="AE9" s="22"/>
      <c r="AF9" s="317"/>
      <c r="AG9" s="318"/>
      <c r="AH9" s="5"/>
      <c r="AO9" s="299"/>
      <c r="AP9" s="300"/>
      <c r="AQ9" s="6"/>
      <c r="AR9" s="7"/>
      <c r="AS9" s="305"/>
      <c r="AT9" s="306"/>
      <c r="AU9" s="5"/>
    </row>
    <row r="10" spans="2:53" ht="20.100000000000001" customHeight="1" thickTop="1" thickBot="1" x14ac:dyDescent="0.3">
      <c r="B10" s="299"/>
      <c r="C10" s="300"/>
      <c r="D10" s="8"/>
      <c r="E10" s="9"/>
      <c r="F10" s="10"/>
      <c r="G10" s="11"/>
      <c r="H10" s="307"/>
      <c r="I10" s="308"/>
      <c r="J10" s="5"/>
      <c r="O10" s="299"/>
      <c r="P10" s="300"/>
      <c r="Q10" s="8"/>
      <c r="R10" s="9"/>
      <c r="S10" s="10"/>
      <c r="T10" s="11"/>
      <c r="U10" s="307"/>
      <c r="V10" s="308"/>
      <c r="W10" s="5"/>
      <c r="AB10" s="299"/>
      <c r="AC10" s="300"/>
      <c r="AD10" s="8"/>
      <c r="AE10" s="9"/>
      <c r="AF10" s="13"/>
      <c r="AG10" s="9"/>
      <c r="AH10" s="311"/>
      <c r="AI10" s="312"/>
      <c r="AJ10" s="5"/>
      <c r="AO10" s="299"/>
      <c r="AP10" s="300"/>
      <c r="AQ10" s="8"/>
      <c r="AR10" s="9"/>
      <c r="AS10" s="10"/>
      <c r="AT10" s="11"/>
      <c r="AU10" s="307"/>
      <c r="AV10" s="308"/>
      <c r="AW10" s="5"/>
    </row>
    <row r="11" spans="2:53" ht="20.100000000000001" customHeight="1" thickTop="1" thickBot="1" x14ac:dyDescent="0.3">
      <c r="B11" s="299"/>
      <c r="C11" s="300"/>
      <c r="D11" s="8"/>
      <c r="E11" s="12"/>
      <c r="F11" s="13"/>
      <c r="G11" s="12"/>
      <c r="H11" s="14"/>
      <c r="I11" s="15"/>
      <c r="J11" s="309"/>
      <c r="K11" s="310"/>
      <c r="L11" s="5"/>
      <c r="O11" s="299"/>
      <c r="P11" s="300"/>
      <c r="Q11" s="8"/>
      <c r="R11" s="12"/>
      <c r="S11" s="13"/>
      <c r="T11" s="12"/>
      <c r="U11" s="14"/>
      <c r="V11" s="15"/>
      <c r="W11" s="309"/>
      <c r="X11" s="310"/>
      <c r="Y11" s="5"/>
      <c r="AB11" s="299"/>
      <c r="AC11" s="300"/>
      <c r="AD11" s="8"/>
      <c r="AE11" s="12"/>
      <c r="AF11" s="13"/>
      <c r="AG11" s="12"/>
      <c r="AH11" s="23"/>
      <c r="AI11" s="12"/>
      <c r="AJ11" s="309"/>
      <c r="AK11" s="310"/>
      <c r="AL11" s="5"/>
      <c r="AO11" s="299"/>
      <c r="AP11" s="300"/>
      <c r="AQ11" s="8"/>
      <c r="AR11" s="12"/>
      <c r="AS11" s="13"/>
      <c r="AT11" s="12"/>
      <c r="AU11" s="14"/>
      <c r="AV11" s="15"/>
      <c r="AW11" s="309"/>
      <c r="AX11" s="310"/>
      <c r="AY11" s="5"/>
    </row>
    <row r="12" spans="2:53" ht="20.100000000000001" customHeight="1" thickTop="1" thickBot="1" x14ac:dyDescent="0.3">
      <c r="B12" s="301"/>
      <c r="C12" s="302"/>
      <c r="D12" s="16"/>
      <c r="E12" s="17"/>
      <c r="F12" s="18"/>
      <c r="G12" s="17"/>
      <c r="H12" s="19"/>
      <c r="I12" s="17"/>
      <c r="J12" s="20"/>
      <c r="K12" s="21"/>
      <c r="L12" s="313"/>
      <c r="M12" s="314"/>
      <c r="N12" s="5"/>
      <c r="O12" s="301"/>
      <c r="P12" s="302"/>
      <c r="Q12" s="16"/>
      <c r="R12" s="17"/>
      <c r="S12" s="18"/>
      <c r="T12" s="17"/>
      <c r="U12" s="19"/>
      <c r="V12" s="17"/>
      <c r="W12" s="20"/>
      <c r="X12" s="21"/>
      <c r="Y12" s="313"/>
      <c r="Z12" s="314"/>
      <c r="AA12" s="5"/>
      <c r="AB12" s="301"/>
      <c r="AC12" s="302"/>
      <c r="AD12" s="16"/>
      <c r="AE12" s="17"/>
      <c r="AF12" s="18"/>
      <c r="AG12" s="17"/>
      <c r="AH12" s="19"/>
      <c r="AI12" s="17"/>
      <c r="AJ12" s="20"/>
      <c r="AK12" s="21"/>
      <c r="AL12" s="313"/>
      <c r="AM12" s="314"/>
      <c r="AN12" s="5"/>
      <c r="AO12" s="301"/>
      <c r="AP12" s="302"/>
      <c r="AQ12" s="16"/>
      <c r="AR12" s="17"/>
      <c r="AS12" s="18"/>
      <c r="AT12" s="17"/>
      <c r="AU12" s="19"/>
      <c r="AV12" s="17"/>
      <c r="AW12" s="20"/>
      <c r="AX12" s="21"/>
      <c r="AY12" s="313"/>
      <c r="AZ12" s="314"/>
      <c r="BA12" s="5"/>
    </row>
    <row r="13" spans="2:53" ht="20.100000000000001" customHeight="1" thickTop="1" thickBot="1" x14ac:dyDescent="0.3"/>
    <row r="14" spans="2:53" ht="20.100000000000001" customHeight="1" thickTop="1" thickBot="1" x14ac:dyDescent="0.3">
      <c r="B14" s="297"/>
      <c r="C14" s="298"/>
      <c r="D14" s="303"/>
      <c r="E14" s="304"/>
      <c r="F14" s="5"/>
      <c r="O14" s="297"/>
      <c r="P14" s="298"/>
      <c r="Q14" s="303"/>
      <c r="R14" s="304"/>
      <c r="S14" s="5"/>
      <c r="AB14" s="297"/>
      <c r="AC14" s="298"/>
      <c r="AD14" s="315"/>
      <c r="AE14" s="316"/>
      <c r="AF14" s="5"/>
      <c r="AO14" s="297"/>
      <c r="AP14" s="298"/>
      <c r="AQ14" s="303"/>
      <c r="AR14" s="304"/>
      <c r="AS14" s="5"/>
    </row>
    <row r="15" spans="2:53" ht="20.100000000000001" customHeight="1" thickTop="1" thickBot="1" x14ac:dyDescent="0.3">
      <c r="B15" s="299"/>
      <c r="C15" s="300"/>
      <c r="D15" s="6"/>
      <c r="E15" s="7"/>
      <c r="F15" s="305"/>
      <c r="G15" s="306"/>
      <c r="H15" s="5"/>
      <c r="O15" s="299"/>
      <c r="P15" s="300"/>
      <c r="Q15" s="6"/>
      <c r="R15" s="7"/>
      <c r="S15" s="305"/>
      <c r="T15" s="306"/>
      <c r="U15" s="5"/>
      <c r="AB15" s="299"/>
      <c r="AC15" s="300"/>
      <c r="AD15" s="8"/>
      <c r="AE15" s="22"/>
      <c r="AF15" s="317"/>
      <c r="AG15" s="318"/>
      <c r="AH15" s="5"/>
      <c r="AO15" s="299"/>
      <c r="AP15" s="300"/>
      <c r="AQ15" s="6"/>
      <c r="AR15" s="7"/>
      <c r="AS15" s="305"/>
      <c r="AT15" s="306"/>
      <c r="AU15" s="5"/>
    </row>
    <row r="16" spans="2:53" ht="20.100000000000001" customHeight="1" thickTop="1" thickBot="1" x14ac:dyDescent="0.3">
      <c r="B16" s="299"/>
      <c r="C16" s="300"/>
      <c r="D16" s="8"/>
      <c r="E16" s="9"/>
      <c r="F16" s="10"/>
      <c r="G16" s="11"/>
      <c r="H16" s="307"/>
      <c r="I16" s="308"/>
      <c r="J16" s="5"/>
      <c r="O16" s="299"/>
      <c r="P16" s="300"/>
      <c r="Q16" s="8"/>
      <c r="R16" s="9"/>
      <c r="S16" s="10"/>
      <c r="T16" s="11"/>
      <c r="U16" s="307"/>
      <c r="V16" s="308"/>
      <c r="W16" s="5"/>
      <c r="AB16" s="299"/>
      <c r="AC16" s="300"/>
      <c r="AD16" s="8"/>
      <c r="AE16" s="9"/>
      <c r="AF16" s="13"/>
      <c r="AG16" s="9"/>
      <c r="AH16" s="311"/>
      <c r="AI16" s="312"/>
      <c r="AJ16" s="5"/>
      <c r="AO16" s="299"/>
      <c r="AP16" s="300"/>
      <c r="AQ16" s="8"/>
      <c r="AR16" s="9"/>
      <c r="AS16" s="10"/>
      <c r="AT16" s="11"/>
      <c r="AU16" s="307"/>
      <c r="AV16" s="308"/>
      <c r="AW16" s="5"/>
    </row>
    <row r="17" spans="2:53" ht="20.100000000000001" customHeight="1" thickTop="1" thickBot="1" x14ac:dyDescent="0.3">
      <c r="B17" s="299"/>
      <c r="C17" s="300"/>
      <c r="D17" s="8"/>
      <c r="E17" s="12"/>
      <c r="F17" s="13"/>
      <c r="G17" s="12"/>
      <c r="H17" s="14"/>
      <c r="I17" s="15"/>
      <c r="J17" s="309"/>
      <c r="K17" s="310"/>
      <c r="L17" s="5"/>
      <c r="O17" s="299"/>
      <c r="P17" s="300"/>
      <c r="Q17" s="8"/>
      <c r="R17" s="12"/>
      <c r="S17" s="13"/>
      <c r="T17" s="12"/>
      <c r="U17" s="14"/>
      <c r="V17" s="15"/>
      <c r="W17" s="309"/>
      <c r="X17" s="310"/>
      <c r="Y17" s="5"/>
      <c r="AB17" s="299"/>
      <c r="AC17" s="300"/>
      <c r="AD17" s="8"/>
      <c r="AE17" s="12"/>
      <c r="AF17" s="13"/>
      <c r="AG17" s="12"/>
      <c r="AH17" s="23"/>
      <c r="AI17" s="12"/>
      <c r="AJ17" s="309"/>
      <c r="AK17" s="310"/>
      <c r="AL17" s="5"/>
      <c r="AO17" s="299"/>
      <c r="AP17" s="300"/>
      <c r="AQ17" s="8"/>
      <c r="AR17" s="12"/>
      <c r="AS17" s="13"/>
      <c r="AT17" s="12"/>
      <c r="AU17" s="14"/>
      <c r="AV17" s="15"/>
      <c r="AW17" s="309"/>
      <c r="AX17" s="310"/>
      <c r="AY17" s="5"/>
    </row>
    <row r="18" spans="2:53" ht="20.100000000000001" customHeight="1" thickTop="1" thickBot="1" x14ac:dyDescent="0.3">
      <c r="B18" s="301"/>
      <c r="C18" s="302"/>
      <c r="D18" s="16"/>
      <c r="E18" s="17"/>
      <c r="F18" s="18"/>
      <c r="G18" s="17"/>
      <c r="H18" s="19"/>
      <c r="I18" s="17"/>
      <c r="J18" s="20"/>
      <c r="K18" s="21"/>
      <c r="L18" s="313"/>
      <c r="M18" s="314"/>
      <c r="N18" s="5"/>
      <c r="O18" s="301"/>
      <c r="P18" s="302"/>
      <c r="Q18" s="16"/>
      <c r="R18" s="17"/>
      <c r="S18" s="18"/>
      <c r="T18" s="17"/>
      <c r="U18" s="19"/>
      <c r="V18" s="17"/>
      <c r="W18" s="20"/>
      <c r="X18" s="21"/>
      <c r="Y18" s="313"/>
      <c r="Z18" s="314"/>
      <c r="AA18" s="5"/>
      <c r="AB18" s="301"/>
      <c r="AC18" s="302"/>
      <c r="AD18" s="16"/>
      <c r="AE18" s="17"/>
      <c r="AF18" s="18"/>
      <c r="AG18" s="17"/>
      <c r="AH18" s="19"/>
      <c r="AI18" s="17"/>
      <c r="AJ18" s="20"/>
      <c r="AK18" s="21"/>
      <c r="AL18" s="313"/>
      <c r="AM18" s="314"/>
      <c r="AN18" s="5"/>
      <c r="AO18" s="301"/>
      <c r="AP18" s="302"/>
      <c r="AQ18" s="16"/>
      <c r="AR18" s="17"/>
      <c r="AS18" s="18"/>
      <c r="AT18" s="17"/>
      <c r="AU18" s="19"/>
      <c r="AV18" s="17"/>
      <c r="AW18" s="20"/>
      <c r="AX18" s="21"/>
      <c r="AY18" s="313"/>
      <c r="AZ18" s="314"/>
      <c r="BA18" s="5"/>
    </row>
    <row r="19" spans="2:53" ht="20.100000000000001" customHeight="1" thickTop="1" thickBot="1" x14ac:dyDescent="0.3"/>
    <row r="20" spans="2:53" ht="20.100000000000001" customHeight="1" thickTop="1" thickBot="1" x14ac:dyDescent="0.3">
      <c r="B20" s="297"/>
      <c r="C20" s="298"/>
      <c r="D20" s="303"/>
      <c r="E20" s="304"/>
      <c r="F20" s="5"/>
      <c r="O20" s="297"/>
      <c r="P20" s="298"/>
      <c r="Q20" s="303"/>
      <c r="R20" s="304"/>
      <c r="S20" s="5"/>
      <c r="AB20" s="297"/>
      <c r="AC20" s="298"/>
      <c r="AD20" s="315"/>
      <c r="AE20" s="316"/>
      <c r="AF20" s="5"/>
      <c r="AO20" s="297"/>
      <c r="AP20" s="298"/>
      <c r="AQ20" s="303"/>
      <c r="AR20" s="304"/>
      <c r="AS20" s="5"/>
    </row>
    <row r="21" spans="2:53" ht="20.100000000000001" customHeight="1" thickTop="1" thickBot="1" x14ac:dyDescent="0.3">
      <c r="B21" s="299"/>
      <c r="C21" s="300"/>
      <c r="D21" s="6"/>
      <c r="E21" s="7"/>
      <c r="F21" s="305"/>
      <c r="G21" s="306"/>
      <c r="H21" s="5"/>
      <c r="O21" s="299"/>
      <c r="P21" s="300"/>
      <c r="Q21" s="6"/>
      <c r="R21" s="7"/>
      <c r="S21" s="305"/>
      <c r="T21" s="306"/>
      <c r="U21" s="5"/>
      <c r="AB21" s="299"/>
      <c r="AC21" s="300"/>
      <c r="AD21" s="8"/>
      <c r="AE21" s="22"/>
      <c r="AF21" s="317"/>
      <c r="AG21" s="318"/>
      <c r="AH21" s="5"/>
      <c r="AO21" s="299"/>
      <c r="AP21" s="300"/>
      <c r="AQ21" s="6"/>
      <c r="AR21" s="7"/>
      <c r="AS21" s="305"/>
      <c r="AT21" s="306"/>
      <c r="AU21" s="5"/>
    </row>
    <row r="22" spans="2:53" ht="20.100000000000001" customHeight="1" thickTop="1" thickBot="1" x14ac:dyDescent="0.3">
      <c r="B22" s="299"/>
      <c r="C22" s="300"/>
      <c r="D22" s="8"/>
      <c r="E22" s="9"/>
      <c r="F22" s="10"/>
      <c r="G22" s="11"/>
      <c r="H22" s="307"/>
      <c r="I22" s="308"/>
      <c r="J22" s="5"/>
      <c r="O22" s="299"/>
      <c r="P22" s="300"/>
      <c r="Q22" s="8"/>
      <c r="R22" s="9"/>
      <c r="S22" s="10"/>
      <c r="T22" s="11"/>
      <c r="U22" s="307"/>
      <c r="V22" s="308"/>
      <c r="W22" s="5"/>
      <c r="AB22" s="299"/>
      <c r="AC22" s="300"/>
      <c r="AD22" s="8"/>
      <c r="AE22" s="9"/>
      <c r="AF22" s="13"/>
      <c r="AG22" s="9"/>
      <c r="AH22" s="311"/>
      <c r="AI22" s="312"/>
      <c r="AJ22" s="5"/>
      <c r="AO22" s="299"/>
      <c r="AP22" s="300"/>
      <c r="AQ22" s="8"/>
      <c r="AR22" s="9"/>
      <c r="AS22" s="10"/>
      <c r="AT22" s="11"/>
      <c r="AU22" s="307"/>
      <c r="AV22" s="308"/>
      <c r="AW22" s="5"/>
    </row>
    <row r="23" spans="2:53" ht="20.100000000000001" customHeight="1" thickTop="1" thickBot="1" x14ac:dyDescent="0.3">
      <c r="B23" s="299"/>
      <c r="C23" s="300"/>
      <c r="D23" s="8"/>
      <c r="E23" s="12"/>
      <c r="F23" s="13"/>
      <c r="G23" s="12"/>
      <c r="H23" s="14"/>
      <c r="I23" s="15"/>
      <c r="J23" s="309"/>
      <c r="K23" s="310"/>
      <c r="L23" s="5"/>
      <c r="O23" s="299"/>
      <c r="P23" s="300"/>
      <c r="Q23" s="8"/>
      <c r="R23" s="12"/>
      <c r="S23" s="13"/>
      <c r="T23" s="12"/>
      <c r="U23" s="14"/>
      <c r="V23" s="15"/>
      <c r="W23" s="309"/>
      <c r="X23" s="310"/>
      <c r="Y23" s="5"/>
      <c r="AB23" s="299"/>
      <c r="AC23" s="300"/>
      <c r="AD23" s="8"/>
      <c r="AE23" s="12"/>
      <c r="AF23" s="13"/>
      <c r="AG23" s="12"/>
      <c r="AH23" s="23"/>
      <c r="AI23" s="12"/>
      <c r="AJ23" s="309"/>
      <c r="AK23" s="310"/>
      <c r="AL23" s="5"/>
      <c r="AO23" s="299"/>
      <c r="AP23" s="300"/>
      <c r="AQ23" s="8"/>
      <c r="AR23" s="12"/>
      <c r="AS23" s="13"/>
      <c r="AT23" s="12"/>
      <c r="AU23" s="14"/>
      <c r="AV23" s="15"/>
      <c r="AW23" s="309"/>
      <c r="AX23" s="310"/>
      <c r="AY23" s="5"/>
    </row>
    <row r="24" spans="2:53" ht="20.100000000000001" customHeight="1" thickTop="1" thickBot="1" x14ac:dyDescent="0.3">
      <c r="B24" s="301"/>
      <c r="C24" s="302"/>
      <c r="D24" s="16"/>
      <c r="E24" s="17"/>
      <c r="F24" s="18"/>
      <c r="G24" s="17"/>
      <c r="H24" s="19"/>
      <c r="I24" s="17"/>
      <c r="J24" s="20"/>
      <c r="K24" s="21"/>
      <c r="L24" s="313"/>
      <c r="M24" s="314"/>
      <c r="N24" s="5"/>
      <c r="O24" s="301"/>
      <c r="P24" s="302"/>
      <c r="Q24" s="16"/>
      <c r="R24" s="17"/>
      <c r="S24" s="18"/>
      <c r="T24" s="17"/>
      <c r="U24" s="19"/>
      <c r="V24" s="17"/>
      <c r="W24" s="20"/>
      <c r="X24" s="21"/>
      <c r="Y24" s="313"/>
      <c r="Z24" s="314"/>
      <c r="AA24" s="5"/>
      <c r="AB24" s="301"/>
      <c r="AC24" s="302"/>
      <c r="AD24" s="16"/>
      <c r="AE24" s="17"/>
      <c r="AF24" s="18"/>
      <c r="AG24" s="17"/>
      <c r="AH24" s="19"/>
      <c r="AI24" s="17"/>
      <c r="AJ24" s="20"/>
      <c r="AK24" s="21"/>
      <c r="AL24" s="313"/>
      <c r="AM24" s="314"/>
      <c r="AN24" s="5"/>
      <c r="AO24" s="301"/>
      <c r="AP24" s="302"/>
      <c r="AQ24" s="16"/>
      <c r="AR24" s="17"/>
      <c r="AS24" s="18"/>
      <c r="AT24" s="17"/>
      <c r="AU24" s="19"/>
      <c r="AV24" s="17"/>
      <c r="AW24" s="20"/>
      <c r="AX24" s="21"/>
      <c r="AY24" s="313"/>
      <c r="AZ24" s="314"/>
      <c r="BA24" s="5"/>
    </row>
    <row r="25" spans="2:53" ht="20.100000000000001" customHeight="1" thickTop="1" x14ac:dyDescent="0.25"/>
  </sheetData>
  <mergeCells count="96">
    <mergeCell ref="F3:G3"/>
    <mergeCell ref="S3:T3"/>
    <mergeCell ref="AF3:AG3"/>
    <mergeCell ref="AS3:AT3"/>
    <mergeCell ref="H4:I4"/>
    <mergeCell ref="U4:V4"/>
    <mergeCell ref="AH4:AI4"/>
    <mergeCell ref="O2:P6"/>
    <mergeCell ref="Q2:R2"/>
    <mergeCell ref="AB2:AC6"/>
    <mergeCell ref="AD2:AE2"/>
    <mergeCell ref="AU4:AV4"/>
    <mergeCell ref="J5:K5"/>
    <mergeCell ref="W5:X5"/>
    <mergeCell ref="AJ5:AK5"/>
    <mergeCell ref="AW5:AX5"/>
    <mergeCell ref="AO2:AP6"/>
    <mergeCell ref="AQ2:AR2"/>
    <mergeCell ref="AY6:AZ6"/>
    <mergeCell ref="B8:C12"/>
    <mergeCell ref="D8:E8"/>
    <mergeCell ref="O8:P12"/>
    <mergeCell ref="Q8:R8"/>
    <mergeCell ref="AB8:AC12"/>
    <mergeCell ref="AD8:AE8"/>
    <mergeCell ref="AO8:AP12"/>
    <mergeCell ref="AQ8:AR8"/>
    <mergeCell ref="F9:G9"/>
    <mergeCell ref="L6:M6"/>
    <mergeCell ref="Y6:Z6"/>
    <mergeCell ref="AL6:AM6"/>
    <mergeCell ref="B2:C6"/>
    <mergeCell ref="D2:E2"/>
    <mergeCell ref="S9:T9"/>
    <mergeCell ref="AF9:AG9"/>
    <mergeCell ref="AS9:AT9"/>
    <mergeCell ref="H10:I10"/>
    <mergeCell ref="U10:V10"/>
    <mergeCell ref="AH10:AI10"/>
    <mergeCell ref="AU10:AV10"/>
    <mergeCell ref="J11:K11"/>
    <mergeCell ref="W11:X11"/>
    <mergeCell ref="AJ11:AK11"/>
    <mergeCell ref="AW11:AX11"/>
    <mergeCell ref="AY12:AZ12"/>
    <mergeCell ref="B14:C18"/>
    <mergeCell ref="D14:E14"/>
    <mergeCell ref="O14:P18"/>
    <mergeCell ref="Q14:R14"/>
    <mergeCell ref="AB14:AC18"/>
    <mergeCell ref="AD14:AE14"/>
    <mergeCell ref="AO14:AP18"/>
    <mergeCell ref="AQ14:AR14"/>
    <mergeCell ref="F15:G15"/>
    <mergeCell ref="L12:M12"/>
    <mergeCell ref="Y12:Z12"/>
    <mergeCell ref="AL12:AM12"/>
    <mergeCell ref="S15:T15"/>
    <mergeCell ref="AF15:AG15"/>
    <mergeCell ref="AS15:AT15"/>
    <mergeCell ref="H16:I16"/>
    <mergeCell ref="U16:V16"/>
    <mergeCell ref="AH16:AI16"/>
    <mergeCell ref="AU16:AV16"/>
    <mergeCell ref="J17:K17"/>
    <mergeCell ref="W17:X17"/>
    <mergeCell ref="AJ17:AK17"/>
    <mergeCell ref="AW17:AX17"/>
    <mergeCell ref="AY18:AZ18"/>
    <mergeCell ref="B20:C24"/>
    <mergeCell ref="D20:E20"/>
    <mergeCell ref="O20:P24"/>
    <mergeCell ref="Q20:R20"/>
    <mergeCell ref="AB20:AC24"/>
    <mergeCell ref="AD20:AE20"/>
    <mergeCell ref="AO20:AP24"/>
    <mergeCell ref="AQ20:AR20"/>
    <mergeCell ref="F21:G21"/>
    <mergeCell ref="L18:M18"/>
    <mergeCell ref="Y18:Z18"/>
    <mergeCell ref="AL18:AM18"/>
    <mergeCell ref="S21:T21"/>
    <mergeCell ref="AF21:AG21"/>
    <mergeCell ref="AS21:AT21"/>
    <mergeCell ref="H22:I22"/>
    <mergeCell ref="U22:V22"/>
    <mergeCell ref="AH22:AI22"/>
    <mergeCell ref="AY24:AZ24"/>
    <mergeCell ref="AU22:AV22"/>
    <mergeCell ref="J23:K23"/>
    <mergeCell ref="W23:X23"/>
    <mergeCell ref="AJ23:AK23"/>
    <mergeCell ref="AW23:AX23"/>
    <mergeCell ref="L24:M24"/>
    <mergeCell ref="Y24:Z24"/>
    <mergeCell ref="AL24:AM24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EE7D-AA71-438F-B21C-8625FCBE0D3C}">
  <sheetPr codeName="Sheet10">
    <tabColor rgb="FFFFFF00"/>
  </sheetPr>
  <dimension ref="B1:N37"/>
  <sheetViews>
    <sheetView zoomScale="89" zoomScaleNormal="89" workbookViewId="0"/>
  </sheetViews>
  <sheetFormatPr defaultRowHeight="15" x14ac:dyDescent="0.25"/>
  <cols>
    <col min="1" max="1" width="5.7109375" style="114" customWidth="1"/>
    <col min="2" max="2" width="50.7109375" style="114" customWidth="1"/>
    <col min="3" max="3" width="5.7109375" style="114" customWidth="1"/>
    <col min="4" max="4" width="50.7109375" style="114" customWidth="1"/>
    <col min="5" max="5" width="5.7109375" style="114" customWidth="1"/>
    <col min="6" max="6" width="50.7109375" style="114" customWidth="1"/>
    <col min="7" max="7" width="5.7109375" style="114" customWidth="1"/>
    <col min="8" max="8" width="50.7109375" style="114" customWidth="1"/>
    <col min="9" max="9" width="5.7109375" style="114" customWidth="1"/>
    <col min="10" max="10" width="50.7109375" style="114" customWidth="1"/>
    <col min="11" max="11" width="5.7109375" style="114" customWidth="1"/>
    <col min="12" max="12" width="50.7109375" style="114" customWidth="1"/>
    <col min="13" max="13" width="5.7109375" style="114" customWidth="1"/>
    <col min="14" max="14" width="50.7109375" style="114" customWidth="1"/>
    <col min="15" max="15" width="5.7109375" style="114" customWidth="1"/>
    <col min="16" max="16" width="50.7109375" style="114" customWidth="1"/>
    <col min="17" max="16384" width="9.140625" style="114"/>
  </cols>
  <sheetData>
    <row r="1" spans="2:14" ht="45" customHeight="1" x14ac:dyDescent="0.25">
      <c r="B1" s="113"/>
      <c r="G1" s="115"/>
      <c r="H1" s="116"/>
      <c r="I1" s="115"/>
    </row>
    <row r="2" spans="2:14" ht="9.9499999999999993" customHeight="1" x14ac:dyDescent="0.25">
      <c r="B2" s="113"/>
    </row>
    <row r="3" spans="2:14" ht="20.100000000000001" customHeight="1" thickBot="1" x14ac:dyDescent="0.3">
      <c r="G3" s="273">
        <v>1</v>
      </c>
      <c r="H3" s="117"/>
      <c r="I3" s="118"/>
    </row>
    <row r="4" spans="2:14" ht="20.100000000000001" customHeight="1" thickTop="1" x14ac:dyDescent="0.25">
      <c r="F4" s="119"/>
      <c r="G4" s="274"/>
      <c r="H4" s="120" t="str">
        <f>IF(ISBLANK(H3),"",IFERROR(_xlfn.XLOOKUP(H3,'List of Teams'!$B$2:$B$65,'List of Teams'!$C$2:$C$65),""))</f>
        <v/>
      </c>
      <c r="I4" s="121"/>
    </row>
    <row r="5" spans="2:14" ht="20.100000000000001" customHeight="1" thickBot="1" x14ac:dyDescent="0.3">
      <c r="E5" s="122"/>
      <c r="F5" s="123" t="str">
        <f>IF(H8="Bye",H8,IF(OR(ISBLANK(H3),ISBLANK(H8)),"",IF(OR(ISBLANK(I3),ISBLANK(I8)),"",IF(I3&lt;I8,H3,H8))))</f>
        <v/>
      </c>
      <c r="G5" s="275"/>
      <c r="H5" s="124" t="s">
        <v>40</v>
      </c>
      <c r="I5" s="125"/>
      <c r="J5" s="126" t="str">
        <f>IF(H8="Bye",H3,IF(OR(ISBLANK(H3),ISBLANK(H8)),"",IF(OR(ISBLANK(I3),ISBLANK(I8)),"",IF(I3&gt;I8,H3,H8))))</f>
        <v/>
      </c>
      <c r="K5" s="127"/>
    </row>
    <row r="6" spans="2:14" ht="20.100000000000001" customHeight="1" thickTop="1" x14ac:dyDescent="0.35">
      <c r="E6" s="128"/>
      <c r="F6" s="129" t="str">
        <f>IF(F5="","",IF(I3&lt;I8,I3&amp;"-"&amp;I8,I8&amp;"-"&amp;I3))</f>
        <v/>
      </c>
      <c r="G6" s="273"/>
      <c r="H6" s="130" t="s">
        <v>32</v>
      </c>
      <c r="I6" s="125"/>
      <c r="J6" s="131" t="str">
        <f>IF(J5="","",IF(I3&gt;I8,I3&amp;"-"&amp;I8,I8&amp;"-"&amp;I3))</f>
        <v/>
      </c>
      <c r="K6" s="132"/>
      <c r="L6" s="133"/>
    </row>
    <row r="7" spans="2:14" ht="20.100000000000001" customHeight="1" thickBot="1" x14ac:dyDescent="0.3">
      <c r="E7" s="134"/>
      <c r="F7" s="135"/>
      <c r="G7" s="276"/>
      <c r="H7" s="136" t="str">
        <f>IF(ISBLANK(H8),"",IFERROR(_xlfn.XLOOKUP(H8,'List of Teams'!$B$2:$B$65,'List of Teams'!$C$2:$C$65),""))</f>
        <v/>
      </c>
      <c r="I7" s="137"/>
      <c r="J7" s="132"/>
      <c r="K7" s="132"/>
      <c r="L7" s="133"/>
    </row>
    <row r="8" spans="2:14" ht="20.100000000000001" customHeight="1" thickTop="1" x14ac:dyDescent="0.25">
      <c r="E8" s="134"/>
      <c r="F8" s="132"/>
      <c r="G8" s="273">
        <v>8</v>
      </c>
      <c r="H8" s="117"/>
      <c r="I8" s="138"/>
      <c r="J8" s="132"/>
      <c r="K8" s="132"/>
      <c r="L8" s="133"/>
    </row>
    <row r="9" spans="2:14" ht="20.100000000000001" customHeight="1" thickBot="1" x14ac:dyDescent="0.3">
      <c r="C9" s="139"/>
      <c r="D9" s="140" t="str">
        <f>IF(F14="Bye",F5,IF(OR(ISBLANK(F5),ISBLANK(F14)),"",IF(OR(ISBLANK(E5),ISBLANK(E14)),"",IF(E5&gt;E14,F5,F14))))</f>
        <v/>
      </c>
      <c r="E9" s="134"/>
      <c r="F9" s="141" t="s">
        <v>53</v>
      </c>
      <c r="G9" s="142"/>
      <c r="H9" s="132"/>
      <c r="I9" s="132"/>
      <c r="J9" s="141" t="s">
        <v>80</v>
      </c>
      <c r="K9" s="132"/>
      <c r="L9" s="143" t="str">
        <f>IF(J14="Bye",J5,IF(OR(ISBLANK(J5),ISBLANK(J14)),"",IF(OR(ISBLANK(K5),ISBLANK(K14)),"",IF(K5&gt;K14,J5,J14))))</f>
        <v/>
      </c>
      <c r="M9" s="144"/>
    </row>
    <row r="10" spans="2:14" ht="20.100000000000001" customHeight="1" thickTop="1" x14ac:dyDescent="0.35">
      <c r="C10" s="145"/>
      <c r="D10" s="146" t="str">
        <f>IF(D9="","",IF(E5&gt;E14,E5&amp;"-"&amp;E14,E14&amp;"-"&amp;E5))</f>
        <v/>
      </c>
      <c r="E10" s="134"/>
      <c r="F10" s="147" t="s">
        <v>32</v>
      </c>
      <c r="G10" s="142"/>
      <c r="H10" s="132"/>
      <c r="I10" s="132"/>
      <c r="J10" s="147" t="s">
        <v>32</v>
      </c>
      <c r="K10" s="132"/>
      <c r="L10" s="148" t="str">
        <f>IF(L9="","",IF(K5&gt;K14,K5&amp;"-"&amp;K14,K14&amp;"-"&amp;K5))</f>
        <v/>
      </c>
      <c r="M10" s="149"/>
      <c r="N10" s="133"/>
    </row>
    <row r="11" spans="2:14" ht="20.100000000000001" customHeight="1" thickBot="1" x14ac:dyDescent="0.3">
      <c r="C11" s="150"/>
      <c r="D11" s="149"/>
      <c r="E11" s="134"/>
      <c r="F11" s="132"/>
      <c r="G11" s="273">
        <v>4</v>
      </c>
      <c r="H11" s="117"/>
      <c r="I11" s="118"/>
      <c r="J11" s="132"/>
      <c r="K11" s="132"/>
      <c r="L11" s="150"/>
      <c r="M11" s="149"/>
      <c r="N11" s="133"/>
    </row>
    <row r="12" spans="2:14" ht="20.100000000000001" customHeight="1" thickTop="1" x14ac:dyDescent="0.25">
      <c r="C12" s="150"/>
      <c r="D12" s="149"/>
      <c r="E12" s="134"/>
      <c r="F12" s="135"/>
      <c r="G12" s="274"/>
      <c r="H12" s="120" t="str">
        <f>IF(ISBLANK(H11),"",IFERROR(_xlfn.XLOOKUP(H11,'List of Teams'!$B$2:$B$65,'List of Teams'!$C$2:$C$65),""))</f>
        <v/>
      </c>
      <c r="I12" s="121"/>
      <c r="J12" s="132"/>
      <c r="K12" s="132"/>
      <c r="L12" s="150"/>
      <c r="M12" s="149"/>
      <c r="N12" s="133"/>
    </row>
    <row r="13" spans="2:14" ht="20.100000000000001" customHeight="1" thickBot="1" x14ac:dyDescent="0.4">
      <c r="C13" s="150"/>
      <c r="D13" s="149"/>
      <c r="E13" s="151"/>
      <c r="F13" s="152" t="str">
        <f>IF(F14="","",IF(I11&lt;I16,I11&amp;"-"&amp;I16,I16&amp;"-"&amp;I11))</f>
        <v/>
      </c>
      <c r="G13" s="273"/>
      <c r="H13" s="130" t="s">
        <v>41</v>
      </c>
      <c r="I13" s="125"/>
      <c r="J13" s="131" t="str">
        <f>IF(J14="","",IF(I11&gt;I16,I11&amp;"-"&amp;I16,I16&amp;"-"&amp;I11))</f>
        <v/>
      </c>
      <c r="K13" s="153"/>
      <c r="L13" s="150"/>
      <c r="M13" s="149"/>
      <c r="N13" s="133"/>
    </row>
    <row r="14" spans="2:14" ht="20.100000000000001" customHeight="1" thickTop="1" x14ac:dyDescent="0.35">
      <c r="C14" s="150"/>
      <c r="D14" s="149"/>
      <c r="E14" s="154"/>
      <c r="F14" s="155" t="str">
        <f>IF(H16="Bye",H16,IF(OR(ISBLANK(H11),ISBLANK(H16)),"",IF(OR(ISBLANK(I11),ISBLANK(I16)),"",IF(I11&lt;I16,H11,H16))))</f>
        <v/>
      </c>
      <c r="G14" s="275"/>
      <c r="H14" s="130" t="s">
        <v>32</v>
      </c>
      <c r="I14" s="125"/>
      <c r="J14" s="156" t="str">
        <f>IF(H16="Bye",H11,IF(OR(ISBLANK(H11),ISBLANK(H16)),"",IF(OR(ISBLANK(I11),ISBLANK(I16)),"",IF(I11&gt;I16,H11,H16))))</f>
        <v/>
      </c>
      <c r="K14" s="154"/>
      <c r="L14" s="149"/>
      <c r="M14" s="149"/>
      <c r="N14" s="133"/>
    </row>
    <row r="15" spans="2:14" ht="20.100000000000001" customHeight="1" thickBot="1" x14ac:dyDescent="0.3">
      <c r="C15" s="150"/>
      <c r="D15" s="149"/>
      <c r="E15" s="149"/>
      <c r="F15" s="157"/>
      <c r="G15" s="276"/>
      <c r="H15" s="136" t="str">
        <f>IF(ISBLANK(H16),"",IFERROR(_xlfn.XLOOKUP(H16,'List of Teams'!$B$2:$B$65,'List of Teams'!$C$2:$C$65),""))</f>
        <v/>
      </c>
      <c r="I15" s="137"/>
      <c r="J15" s="149"/>
      <c r="K15" s="149"/>
      <c r="L15" s="149"/>
      <c r="M15" s="149"/>
      <c r="N15" s="133"/>
    </row>
    <row r="16" spans="2:14" ht="20.100000000000001" customHeight="1" thickTop="1" x14ac:dyDescent="0.25">
      <c r="C16" s="150"/>
      <c r="D16" s="149"/>
      <c r="E16" s="149"/>
      <c r="F16" s="149"/>
      <c r="G16" s="273">
        <v>5</v>
      </c>
      <c r="H16" s="117"/>
      <c r="I16" s="138"/>
      <c r="J16" s="149"/>
      <c r="K16" s="149"/>
      <c r="L16" s="149"/>
      <c r="M16" s="149"/>
      <c r="N16" s="133"/>
    </row>
    <row r="17" spans="2:14" ht="20.100000000000001" customHeight="1" thickBot="1" x14ac:dyDescent="0.3">
      <c r="B17" s="158" t="str">
        <f>IF(D26="Bye",D9,IF(OR(ISBLANK(D9),ISBLANK(D26)),"",IF(OR(ISBLANK(C9),ISBLANK(C26)),"",IF(C9&gt;C26,D9,D26))))</f>
        <v/>
      </c>
      <c r="C17" s="150"/>
      <c r="D17" s="159" t="s">
        <v>82</v>
      </c>
      <c r="E17" s="149"/>
      <c r="F17" s="149"/>
      <c r="G17" s="149"/>
      <c r="H17" s="149"/>
      <c r="I17" s="149"/>
      <c r="J17" s="149"/>
      <c r="K17" s="149"/>
      <c r="L17" s="159" t="s">
        <v>79</v>
      </c>
      <c r="M17" s="149"/>
      <c r="N17" s="143" t="str">
        <f>IF(L26="Bye",L9,IF(OR(ISBLANK(L9),ISBLANK(L26)),"",IF(OR(ISBLANK(M9),ISBLANK(M26)),"",IF(M9&gt;M26,L9,L26))))</f>
        <v/>
      </c>
    </row>
    <row r="18" spans="2:14" ht="20.100000000000001" customHeight="1" thickTop="1" x14ac:dyDescent="0.35">
      <c r="B18" s="160" t="str">
        <f>IF(B17="","",IF(C9&gt;C26,C9&amp;"-"&amp;C26,C26&amp;"-"&amp;C9))</f>
        <v/>
      </c>
      <c r="C18" s="150"/>
      <c r="D18" s="161" t="s">
        <v>32</v>
      </c>
      <c r="E18" s="149"/>
      <c r="F18" s="149"/>
      <c r="G18" s="149"/>
      <c r="H18" s="149"/>
      <c r="I18" s="149"/>
      <c r="J18" s="149"/>
      <c r="K18" s="149"/>
      <c r="L18" s="161" t="s">
        <v>32</v>
      </c>
      <c r="M18" s="149"/>
      <c r="N18" s="162" t="str">
        <f>IF(N17="","",IF(M9&gt;M26,M9&amp;"-"&amp;M26,M26&amp;"-"&amp;M9))</f>
        <v/>
      </c>
    </row>
    <row r="19" spans="2:14" ht="20.100000000000001" customHeight="1" thickBot="1" x14ac:dyDescent="0.3">
      <c r="C19" s="150"/>
      <c r="D19" s="149"/>
      <c r="E19" s="149"/>
      <c r="F19" s="149"/>
      <c r="G19" s="273">
        <v>3</v>
      </c>
      <c r="H19" s="117"/>
      <c r="I19" s="118"/>
      <c r="J19" s="149"/>
      <c r="K19" s="149"/>
      <c r="L19" s="149"/>
      <c r="M19" s="149"/>
      <c r="N19" s="133"/>
    </row>
    <row r="20" spans="2:14" ht="20.100000000000001" customHeight="1" thickTop="1" x14ac:dyDescent="0.25">
      <c r="C20" s="150"/>
      <c r="D20" s="149"/>
      <c r="E20" s="149"/>
      <c r="F20" s="157"/>
      <c r="G20" s="274"/>
      <c r="H20" s="120" t="str">
        <f>IF(ISBLANK(H19),"",IFERROR(_xlfn.XLOOKUP(H19,'List of Teams'!$B$2:$B$65,'List of Teams'!$C$2:$C$65),""))</f>
        <v/>
      </c>
      <c r="I20" s="121"/>
      <c r="J20" s="149"/>
      <c r="K20" s="149"/>
      <c r="L20" s="149"/>
      <c r="M20" s="149"/>
      <c r="N20" s="133"/>
    </row>
    <row r="21" spans="2:14" ht="20.100000000000001" customHeight="1" thickBot="1" x14ac:dyDescent="0.3">
      <c r="C21" s="150"/>
      <c r="D21" s="149"/>
      <c r="E21" s="127"/>
      <c r="F21" s="123" t="str">
        <f>IF(H24="Bye",H24,IF(OR(ISBLANK(H19),ISBLANK(H24)),"",IF(OR(ISBLANK(I19),ISBLANK(I24)),"",IF(I19&lt;I24,H19,H24))))</f>
        <v/>
      </c>
      <c r="G21" s="275"/>
      <c r="H21" s="124" t="s">
        <v>42</v>
      </c>
      <c r="I21" s="125"/>
      <c r="J21" s="126" t="str">
        <f>IF(H24="Bye",H19,IF(OR(ISBLANK(H19),ISBLANK(H24)),"",IF(OR(ISBLANK(I19),ISBLANK(I24)),"",IF(I19&gt;I24,H19,H24))))</f>
        <v/>
      </c>
      <c r="K21" s="127"/>
      <c r="L21" s="149"/>
      <c r="M21" s="149"/>
      <c r="N21" s="133"/>
    </row>
    <row r="22" spans="2:14" ht="20.100000000000001" customHeight="1" thickTop="1" x14ac:dyDescent="0.35">
      <c r="C22" s="150"/>
      <c r="D22" s="149"/>
      <c r="E22" s="128"/>
      <c r="F22" s="129" t="str">
        <f>IF(F21="","",IF(I19&lt;I24,I19&amp;"-"&amp;I24,I24&amp;"-"&amp;I19))</f>
        <v/>
      </c>
      <c r="G22" s="273"/>
      <c r="H22" s="130" t="s">
        <v>32</v>
      </c>
      <c r="I22" s="125"/>
      <c r="J22" s="131" t="str">
        <f>IF(J21="","",IF(I19&gt;I24,I19&amp;"-"&amp;I24,I24&amp;"-"&amp;I19))</f>
        <v/>
      </c>
      <c r="K22" s="132"/>
      <c r="L22" s="150"/>
      <c r="M22" s="149"/>
      <c r="N22" s="133"/>
    </row>
    <row r="23" spans="2:14" ht="20.100000000000001" customHeight="1" thickBot="1" x14ac:dyDescent="0.3">
      <c r="C23" s="150"/>
      <c r="D23" s="149"/>
      <c r="E23" s="134"/>
      <c r="F23" s="135"/>
      <c r="G23" s="276"/>
      <c r="H23" s="136" t="str">
        <f>IF(ISBLANK(H24),"",IFERROR(_xlfn.XLOOKUP(H24,'List of Teams'!$B$2:$B$65,'List of Teams'!$C$2:$C$65),""))</f>
        <v/>
      </c>
      <c r="I23" s="137"/>
      <c r="J23" s="132"/>
      <c r="K23" s="132"/>
      <c r="L23" s="150"/>
      <c r="M23" s="149"/>
      <c r="N23" s="133"/>
    </row>
    <row r="24" spans="2:14" ht="20.100000000000001" customHeight="1" thickTop="1" x14ac:dyDescent="0.25">
      <c r="C24" s="150"/>
      <c r="D24" s="149"/>
      <c r="E24" s="134"/>
      <c r="F24" s="132"/>
      <c r="G24" s="273">
        <v>6</v>
      </c>
      <c r="H24" s="117"/>
      <c r="I24" s="138"/>
      <c r="J24" s="132"/>
      <c r="K24" s="132"/>
      <c r="L24" s="150"/>
      <c r="M24" s="149"/>
      <c r="N24" s="133"/>
    </row>
    <row r="25" spans="2:14" ht="20.100000000000001" customHeight="1" thickBot="1" x14ac:dyDescent="0.3">
      <c r="C25" s="163"/>
      <c r="D25" s="164" t="str">
        <f>IF(D26="","",IF(E21&gt;E30,E21&amp;"-"&amp;E30,E30&amp;"-"&amp;E21))</f>
        <v/>
      </c>
      <c r="E25" s="134"/>
      <c r="F25" s="141" t="s">
        <v>54</v>
      </c>
      <c r="G25" s="142"/>
      <c r="H25" s="132"/>
      <c r="I25" s="132"/>
      <c r="J25" s="141" t="s">
        <v>81</v>
      </c>
      <c r="K25" s="132"/>
      <c r="L25" s="165" t="str">
        <f>IF(L26="","",IF(K21&gt;K30,K21&amp;"-"&amp;K30,K30&amp;"-"&amp;K21))</f>
        <v/>
      </c>
      <c r="M25" s="166"/>
      <c r="N25" s="133"/>
    </row>
    <row r="26" spans="2:14" ht="20.100000000000001" customHeight="1" thickTop="1" x14ac:dyDescent="0.35">
      <c r="C26" s="167"/>
      <c r="D26" s="168" t="str">
        <f>IF(F30="Bye",F21,IF(OR(ISBLANK(F21),ISBLANK(F30)),"",IF(OR(ISBLANK(E21),ISBLANK(E30)),"",IF(E21&gt;E30,F21,F30))))</f>
        <v/>
      </c>
      <c r="E26" s="134"/>
      <c r="F26" s="147" t="s">
        <v>32</v>
      </c>
      <c r="G26" s="142"/>
      <c r="H26" s="132"/>
      <c r="I26" s="132"/>
      <c r="J26" s="147" t="s">
        <v>32</v>
      </c>
      <c r="K26" s="132"/>
      <c r="L26" s="169" t="str">
        <f>IF(J30="Bye",J21,IF(OR(ISBLANK(J21),ISBLANK(J30)),"",IF(OR(ISBLANK(K21),ISBLANK(K30)),"",IF(K21&gt;K30,J21,J30))))</f>
        <v/>
      </c>
      <c r="M26" s="167"/>
    </row>
    <row r="27" spans="2:14" ht="20.100000000000001" customHeight="1" thickBot="1" x14ac:dyDescent="0.3">
      <c r="E27" s="134"/>
      <c r="F27" s="132"/>
      <c r="G27" s="273">
        <v>2</v>
      </c>
      <c r="H27" s="117"/>
      <c r="I27" s="118"/>
      <c r="J27" s="132"/>
      <c r="K27" s="132"/>
      <c r="L27" s="133"/>
    </row>
    <row r="28" spans="2:14" ht="20.100000000000001" customHeight="1" thickTop="1" x14ac:dyDescent="0.25">
      <c r="E28" s="134"/>
      <c r="F28" s="135"/>
      <c r="G28" s="274"/>
      <c r="H28" s="120" t="str">
        <f>IF(ISBLANK(H27),"",IFERROR(_xlfn.XLOOKUP(H27,'List of Teams'!$B$2:$B$65,'List of Teams'!$C$2:$C$65),""))</f>
        <v/>
      </c>
      <c r="I28" s="121"/>
      <c r="J28" s="132"/>
      <c r="K28" s="132"/>
      <c r="L28" s="133"/>
    </row>
    <row r="29" spans="2:14" ht="20.100000000000001" customHeight="1" thickBot="1" x14ac:dyDescent="0.3">
      <c r="E29" s="151"/>
      <c r="F29" s="152" t="str">
        <f>IF(F30="","",IF(I27&lt;I32,I27&amp;"-"&amp;I32,I32&amp;"-"&amp;I27))</f>
        <v/>
      </c>
      <c r="G29" s="273"/>
      <c r="H29" s="124" t="s">
        <v>43</v>
      </c>
      <c r="I29" s="125"/>
      <c r="J29" s="131" t="str">
        <f>IF(J30="","",IF(I27&gt;I32,I27&amp;"-"&amp;I32,I32&amp;"-"&amp;I27))</f>
        <v/>
      </c>
      <c r="K29" s="153"/>
      <c r="L29" s="133"/>
    </row>
    <row r="30" spans="2:14" ht="20.100000000000001" customHeight="1" thickTop="1" x14ac:dyDescent="0.35">
      <c r="E30" s="154"/>
      <c r="F30" s="155" t="str">
        <f>IF(H32="Bye",H32,IF(OR(ISBLANK(H27),ISBLANK(H32)),"",IF(OR(ISBLANK(I27),ISBLANK(I32)),"",IF(I27&lt;I32,H27,H32))))</f>
        <v/>
      </c>
      <c r="G30" s="275"/>
      <c r="H30" s="130" t="s">
        <v>32</v>
      </c>
      <c r="I30" s="125"/>
      <c r="J30" s="156" t="str">
        <f>IF(H32="Bye",H27,IF(OR(ISBLANK(H27),ISBLANK(H32)),"",IF(OR(ISBLANK(I27),ISBLANK(I32)),"",IF(I27&gt;I32,H27,H32))))</f>
        <v/>
      </c>
      <c r="K30" s="154"/>
    </row>
    <row r="31" spans="2:14" ht="20.100000000000001" customHeight="1" thickBot="1" x14ac:dyDescent="0.3">
      <c r="F31" s="119"/>
      <c r="G31" s="276"/>
      <c r="H31" s="136" t="str">
        <f>IF(ISBLANK(H32),"",IFERROR(_xlfn.XLOOKUP(H32,'List of Teams'!$B$2:$B$65,'List of Teams'!$C$2:$C$65),""))</f>
        <v/>
      </c>
      <c r="I31" s="137"/>
    </row>
    <row r="32" spans="2:14" ht="20.100000000000001" customHeight="1" thickTop="1" thickBot="1" x14ac:dyDescent="0.3">
      <c r="G32" s="273">
        <v>7</v>
      </c>
      <c r="H32" s="117"/>
      <c r="I32" s="138"/>
      <c r="L32" s="170" t="str">
        <f>IF(J14="Bye",J14,IF(OR(ISBLANK(J5),ISBLANK(J14)),"",IF(OR(ISBLANK(K5),ISBLANK(K14)),"",IF(K5&lt;K14,J5,J14))))</f>
        <v/>
      </c>
      <c r="M32" s="171"/>
    </row>
    <row r="33" spans="12:14" ht="16.5" thickTop="1" x14ac:dyDescent="0.25">
      <c r="L33" s="172"/>
      <c r="M33" s="173"/>
    </row>
    <row r="34" spans="12:14" ht="24" thickBot="1" x14ac:dyDescent="0.3">
      <c r="L34" s="159" t="s">
        <v>48</v>
      </c>
      <c r="M34" s="157"/>
      <c r="N34" s="143" t="str">
        <f>IF(L37="Bye",L32,IF(OR(ISBLANK(L32),ISBLANK(L37)),"",IF(OR(ISBLANK(M32),ISBLANK(M37)),"",IF(M32&gt;M37,L32,L37))))</f>
        <v/>
      </c>
    </row>
    <row r="35" spans="12:14" ht="24" thickTop="1" x14ac:dyDescent="0.35">
      <c r="L35" s="161" t="s">
        <v>32</v>
      </c>
      <c r="M35" s="157"/>
      <c r="N35" s="162" t="str">
        <f>IF(N34="","",IF(M32&gt;M37,M32&amp;"-"&amp;M37,M37&amp;"-"&amp;M32))</f>
        <v/>
      </c>
    </row>
    <row r="36" spans="12:14" ht="16.5" thickBot="1" x14ac:dyDescent="0.3">
      <c r="L36" s="174"/>
      <c r="M36" s="175"/>
    </row>
    <row r="37" spans="12:14" ht="19.5" thickTop="1" x14ac:dyDescent="0.25">
      <c r="L37" s="176" t="str">
        <f>IF(J30="Bye",J30,IF(OR(ISBLANK(J21),ISBLANK(J30)),"",IF(OR(ISBLANK(K21),ISBLANK(K30)),"",IF(K21&lt;K30,J21,J30))))</f>
        <v/>
      </c>
      <c r="M37" s="177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320E6-BB0A-4872-92D7-49E6324097F6}">
  <sheetPr codeName="Sheet11">
    <tabColor rgb="FFFFFF00"/>
  </sheetPr>
  <dimension ref="B1:R65"/>
  <sheetViews>
    <sheetView showGridLines="0" zoomScale="64" zoomScaleNormal="64" workbookViewId="0"/>
  </sheetViews>
  <sheetFormatPr defaultRowHeight="15" x14ac:dyDescent="0.25"/>
  <cols>
    <col min="1" max="1" width="5.7109375" style="114" customWidth="1"/>
    <col min="2" max="2" width="50.7109375" style="114" customWidth="1"/>
    <col min="3" max="3" width="5.7109375" style="114" customWidth="1"/>
    <col min="4" max="4" width="50.7109375" style="114" customWidth="1"/>
    <col min="5" max="5" width="5.7109375" style="114" customWidth="1"/>
    <col min="6" max="6" width="50.7109375" style="114" customWidth="1"/>
    <col min="7" max="7" width="5.7109375" style="114" customWidth="1"/>
    <col min="8" max="8" width="50.7109375" style="114" customWidth="1"/>
    <col min="9" max="9" width="5.7109375" style="114" customWidth="1"/>
    <col min="10" max="10" width="50.7109375" style="114" customWidth="1"/>
    <col min="11" max="11" width="5.7109375" style="114" customWidth="1"/>
    <col min="12" max="12" width="50.7109375" style="114" customWidth="1"/>
    <col min="13" max="13" width="5.7109375" style="114" customWidth="1"/>
    <col min="14" max="14" width="50.7109375" style="114" customWidth="1"/>
    <col min="15" max="15" width="5.7109375" style="114" customWidth="1"/>
    <col min="16" max="16" width="50.7109375" style="114" customWidth="1"/>
    <col min="17" max="17" width="5.7109375" style="114" customWidth="1"/>
    <col min="18" max="18" width="50.7109375" style="114" customWidth="1"/>
    <col min="19" max="19" width="5.7109375" style="114" customWidth="1"/>
    <col min="20" max="16384" width="9.140625" style="114"/>
  </cols>
  <sheetData>
    <row r="1" spans="5:16" ht="45" customHeight="1" x14ac:dyDescent="0.25">
      <c r="I1" s="115"/>
      <c r="J1" s="116"/>
      <c r="K1" s="115"/>
    </row>
    <row r="2" spans="5:16" ht="9.9499999999999993" customHeight="1" x14ac:dyDescent="0.25"/>
    <row r="3" spans="5:16" ht="20.100000000000001" customHeight="1" thickBot="1" x14ac:dyDescent="0.3">
      <c r="I3" s="273">
        <v>1</v>
      </c>
      <c r="J3" s="117"/>
      <c r="K3" s="118"/>
    </row>
    <row r="4" spans="5:16" ht="20.100000000000001" customHeight="1" thickTop="1" x14ac:dyDescent="0.25">
      <c r="H4" s="119"/>
      <c r="I4" s="274"/>
      <c r="J4" s="120" t="str">
        <f>IF(ISBLANK(J3),"",IFERROR(_xlfn.XLOOKUP(J3,'List of Teams'!$B$2:$B$65,'List of Teams'!$C$2:$C$65),""))</f>
        <v/>
      </c>
      <c r="K4" s="121"/>
    </row>
    <row r="5" spans="5:16" ht="20.100000000000001" customHeight="1" thickBot="1" x14ac:dyDescent="0.3">
      <c r="G5" s="127"/>
      <c r="H5" s="123" t="str">
        <f>IF(J8="Bye",J8,IF(OR(ISBLANK(J3),ISBLANK(J8)),"",IF(OR(ISBLANK(K3),ISBLANK(K8)),"",IF(K3&lt;K8,J3,J8))))</f>
        <v/>
      </c>
      <c r="I5" s="275"/>
      <c r="J5" s="124" t="s">
        <v>40</v>
      </c>
      <c r="K5" s="125"/>
      <c r="L5" s="126" t="str">
        <f>IF(J8="Bye",J3,IF(OR(ISBLANK(J3),ISBLANK(J8)),"",IF(OR(ISBLANK(K3),ISBLANK(K8)),"",IF(K3&gt;K8,J3,J8))))</f>
        <v/>
      </c>
      <c r="M5" s="127"/>
    </row>
    <row r="6" spans="5:16" ht="20.100000000000001" customHeight="1" thickTop="1" x14ac:dyDescent="0.35">
      <c r="G6" s="128"/>
      <c r="H6" s="129" t="str">
        <f>IF(H5="","",IF(K3&lt;K8,K3&amp;"-"&amp;K8,K8&amp;"-"&amp;K3))</f>
        <v/>
      </c>
      <c r="I6" s="273"/>
      <c r="J6" s="130" t="s">
        <v>32</v>
      </c>
      <c r="K6" s="125"/>
      <c r="L6" s="131" t="str">
        <f>IF(L5="","",IF(K3&gt;K8,K3&amp;"-"&amp;K8,K8&amp;"-"&amp;K3))</f>
        <v/>
      </c>
      <c r="M6" s="132"/>
      <c r="N6" s="133"/>
    </row>
    <row r="7" spans="5:16" ht="20.100000000000001" customHeight="1" thickBot="1" x14ac:dyDescent="0.3">
      <c r="G7" s="134"/>
      <c r="H7" s="135"/>
      <c r="I7" s="276"/>
      <c r="J7" s="136" t="str">
        <f>IF(ISBLANK(J8),"",IFERROR(_xlfn.XLOOKUP(J8,'List of Teams'!$B$2:$B$65,'List of Teams'!$C$2:$C$65),""))</f>
        <v/>
      </c>
      <c r="K7" s="137"/>
      <c r="L7" s="132"/>
      <c r="M7" s="132"/>
      <c r="N7" s="133"/>
    </row>
    <row r="8" spans="5:16" ht="20.100000000000001" customHeight="1" thickTop="1" x14ac:dyDescent="0.25">
      <c r="G8" s="134"/>
      <c r="H8" s="132"/>
      <c r="I8" s="273">
        <v>16</v>
      </c>
      <c r="J8" s="117"/>
      <c r="K8" s="138"/>
      <c r="L8" s="132"/>
      <c r="M8" s="132"/>
      <c r="N8" s="133"/>
    </row>
    <row r="9" spans="5:16" ht="20.100000000000001" customHeight="1" thickBot="1" x14ac:dyDescent="0.3">
      <c r="E9" s="144"/>
      <c r="F9" s="140" t="str">
        <f>IF(H14="Bye",H5,IF(OR(ISBLANK(H5),ISBLANK(H14)),"",IF(OR(ISBLANK(G5),ISBLANK(G14)),"",IF(G5&gt;G14,H5,H14))))</f>
        <v/>
      </c>
      <c r="G9" s="134"/>
      <c r="H9" s="141" t="s">
        <v>49</v>
      </c>
      <c r="I9" s="142"/>
      <c r="J9" s="132"/>
      <c r="K9" s="132"/>
      <c r="L9" s="141" t="s">
        <v>36</v>
      </c>
      <c r="M9" s="132"/>
      <c r="N9" s="143" t="str">
        <f>IF(L14="Bye",L5,IF(OR(ISBLANK(L5),ISBLANK(L14)),"",IF(OR(ISBLANK(M5),ISBLANK(M14)),"",IF(M5&gt;M14,L5,L14))))</f>
        <v/>
      </c>
      <c r="O9" s="144"/>
    </row>
    <row r="10" spans="5:16" ht="20.100000000000001" customHeight="1" thickTop="1" x14ac:dyDescent="0.35">
      <c r="E10" s="145"/>
      <c r="F10" s="146" t="str">
        <f>IF(F9="","",IF(G5&gt;G14,G5&amp;"-"&amp;G14,G14&amp;"-"&amp;G5))</f>
        <v/>
      </c>
      <c r="G10" s="134"/>
      <c r="H10" s="147" t="s">
        <v>32</v>
      </c>
      <c r="I10" s="142"/>
      <c r="J10" s="132"/>
      <c r="K10" s="132"/>
      <c r="L10" s="147" t="s">
        <v>32</v>
      </c>
      <c r="M10" s="132"/>
      <c r="N10" s="148" t="str">
        <f>IF(N9="","",IF(M5&gt;M14,M5&amp;"-"&amp;M14,M14&amp;"-"&amp;M5))</f>
        <v/>
      </c>
      <c r="O10" s="149"/>
      <c r="P10" s="133"/>
    </row>
    <row r="11" spans="5:16" ht="20.100000000000001" customHeight="1" thickBot="1" x14ac:dyDescent="0.3">
      <c r="E11" s="150"/>
      <c r="F11" s="149"/>
      <c r="G11" s="134"/>
      <c r="H11" s="132"/>
      <c r="I11" s="273">
        <v>8</v>
      </c>
      <c r="J11" s="117"/>
      <c r="K11" s="118"/>
      <c r="L11" s="132"/>
      <c r="M11" s="132"/>
      <c r="N11" s="150"/>
      <c r="O11" s="149"/>
      <c r="P11" s="133"/>
    </row>
    <row r="12" spans="5:16" ht="20.100000000000001" customHeight="1" thickTop="1" x14ac:dyDescent="0.25">
      <c r="E12" s="150"/>
      <c r="F12" s="149"/>
      <c r="G12" s="134"/>
      <c r="H12" s="135"/>
      <c r="I12" s="274"/>
      <c r="J12" s="120" t="str">
        <f>IF(ISBLANK(J11),"",IFERROR(_xlfn.XLOOKUP(J11,'List of Teams'!$B$2:$B$65,'List of Teams'!$C$2:$C$65),""))</f>
        <v/>
      </c>
      <c r="K12" s="121"/>
      <c r="L12" s="132"/>
      <c r="M12" s="132"/>
      <c r="N12" s="150"/>
      <c r="O12" s="149"/>
      <c r="P12" s="133"/>
    </row>
    <row r="13" spans="5:16" ht="20.100000000000001" customHeight="1" thickBot="1" x14ac:dyDescent="0.3">
      <c r="E13" s="150"/>
      <c r="F13" s="149"/>
      <c r="G13" s="151"/>
      <c r="H13" s="152" t="str">
        <f>IF(H14="","",IF(K11&lt;K16,K11&amp;"-"&amp;K16,K16&amp;"-"&amp;K11))</f>
        <v/>
      </c>
      <c r="I13" s="273"/>
      <c r="J13" s="124" t="s">
        <v>41</v>
      </c>
      <c r="K13" s="125"/>
      <c r="L13" s="131" t="str">
        <f>IF(L14="","",IF(K11&gt;K16,K11&amp;"-"&amp;K16,K16&amp;"-"&amp;K11))</f>
        <v/>
      </c>
      <c r="M13" s="153"/>
      <c r="N13" s="150"/>
      <c r="O13" s="149"/>
      <c r="P13" s="133"/>
    </row>
    <row r="14" spans="5:16" ht="20.100000000000001" customHeight="1" thickTop="1" x14ac:dyDescent="0.35">
      <c r="E14" s="150"/>
      <c r="F14" s="149"/>
      <c r="G14" s="154"/>
      <c r="H14" s="155" t="str">
        <f>IF(J16="Bye",J16,IF(OR(ISBLANK(J11),ISBLANK(J16)),"",IF(OR(ISBLANK(K11),ISBLANK(K16)),"",IF(K11&lt;K16,J11,J16))))</f>
        <v/>
      </c>
      <c r="I14" s="275"/>
      <c r="J14" s="130" t="s">
        <v>32</v>
      </c>
      <c r="K14" s="125"/>
      <c r="L14" s="156" t="str">
        <f>IF(J16="Bye",J11,IF(OR(ISBLANK(J11),ISBLANK(J16)),"",IF(OR(ISBLANK(K11),ISBLANK(K16)),"",IF(K11&gt;K16,J11,J16))))</f>
        <v/>
      </c>
      <c r="M14" s="154"/>
      <c r="N14" s="149"/>
      <c r="O14" s="149"/>
      <c r="P14" s="133"/>
    </row>
    <row r="15" spans="5:16" ht="20.100000000000001" customHeight="1" thickBot="1" x14ac:dyDescent="0.3">
      <c r="E15" s="150"/>
      <c r="F15" s="149"/>
      <c r="G15" s="149"/>
      <c r="H15" s="157"/>
      <c r="I15" s="276"/>
      <c r="J15" s="136" t="str">
        <f>IF(ISBLANK(J16),"",IFERROR(_xlfn.XLOOKUP(J16,'List of Teams'!$B$2:$B$65,'List of Teams'!$C$2:$C$65),""))</f>
        <v/>
      </c>
      <c r="K15" s="137"/>
      <c r="L15" s="149"/>
      <c r="M15" s="149"/>
      <c r="N15" s="149"/>
      <c r="O15" s="149"/>
      <c r="P15" s="133"/>
    </row>
    <row r="16" spans="5:16" ht="20.100000000000001" customHeight="1" thickTop="1" x14ac:dyDescent="0.25">
      <c r="E16" s="150"/>
      <c r="F16" s="159" t="s">
        <v>53</v>
      </c>
      <c r="G16" s="149"/>
      <c r="H16" s="149"/>
      <c r="I16" s="273">
        <v>9</v>
      </c>
      <c r="J16" s="117"/>
      <c r="K16" s="138"/>
      <c r="L16" s="149"/>
      <c r="M16" s="149"/>
      <c r="N16" s="159" t="s">
        <v>34</v>
      </c>
      <c r="O16" s="149"/>
      <c r="P16" s="133"/>
    </row>
    <row r="17" spans="3:18" ht="20.100000000000001" customHeight="1" thickBot="1" x14ac:dyDescent="0.4">
      <c r="C17" s="178"/>
      <c r="D17" s="179" t="str">
        <f>IF(F26="Bye",F9,IF(OR(ISBLANK(F9),ISBLANK(F26)),"",IF(OR(ISBLANK(E9),ISBLANK(E26)),"",IF(E9&gt;E26,F9,F26))))</f>
        <v/>
      </c>
      <c r="E17" s="150"/>
      <c r="F17" s="161" t="s">
        <v>32</v>
      </c>
      <c r="G17" s="149"/>
      <c r="H17" s="149"/>
      <c r="I17" s="149"/>
      <c r="J17" s="149"/>
      <c r="K17" s="149"/>
      <c r="L17" s="149"/>
      <c r="M17" s="149"/>
      <c r="N17" s="161" t="s">
        <v>32</v>
      </c>
      <c r="O17" s="149"/>
      <c r="P17" s="180" t="str">
        <f>IF(N26="Bye",N9,IF(OR(ISBLANK(N9),ISBLANK(N26)),"",IF(OR(ISBLANK(O9),ISBLANK(O26)),"",IF(O9&gt;O26,N9,N26))))</f>
        <v/>
      </c>
      <c r="Q17" s="178"/>
    </row>
    <row r="18" spans="3:18" ht="20.100000000000001" customHeight="1" thickTop="1" x14ac:dyDescent="0.25">
      <c r="C18" s="181"/>
      <c r="D18" s="182" t="str">
        <f>IF(D17="","",IF(E9&gt;E26,E9&amp;"-"&amp;E26,E26&amp;"-"&amp;E9))</f>
        <v/>
      </c>
      <c r="E18" s="150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83" t="str">
        <f>IF(P17="","",IF(O9&gt;O26,O9&amp;"-"&amp;O26,O26&amp;"-"&amp;O9))</f>
        <v/>
      </c>
      <c r="Q18" s="184"/>
      <c r="R18" s="133"/>
    </row>
    <row r="19" spans="3:18" ht="20.100000000000001" customHeight="1" thickBot="1" x14ac:dyDescent="0.3">
      <c r="C19" s="185"/>
      <c r="D19" s="184"/>
      <c r="E19" s="150"/>
      <c r="F19" s="149"/>
      <c r="G19" s="149"/>
      <c r="H19" s="149"/>
      <c r="I19" s="273">
        <v>5</v>
      </c>
      <c r="J19" s="117"/>
      <c r="K19" s="118"/>
      <c r="L19" s="149"/>
      <c r="M19" s="149"/>
      <c r="N19" s="149"/>
      <c r="O19" s="149"/>
      <c r="P19" s="185"/>
      <c r="Q19" s="184"/>
      <c r="R19" s="133"/>
    </row>
    <row r="20" spans="3:18" ht="20.100000000000001" customHeight="1" thickTop="1" x14ac:dyDescent="0.25">
      <c r="C20" s="185"/>
      <c r="D20" s="184"/>
      <c r="E20" s="150"/>
      <c r="F20" s="149"/>
      <c r="G20" s="149"/>
      <c r="H20" s="157"/>
      <c r="I20" s="274"/>
      <c r="J20" s="120" t="str">
        <f>IF(ISBLANK(J19),"",IFERROR(_xlfn.XLOOKUP(J19,'List of Teams'!$B$2:$B$65,'List of Teams'!$C$2:$C$65),""))</f>
        <v/>
      </c>
      <c r="K20" s="121"/>
      <c r="L20" s="149"/>
      <c r="M20" s="149"/>
      <c r="N20" s="149"/>
      <c r="O20" s="149"/>
      <c r="P20" s="185"/>
      <c r="Q20" s="184"/>
      <c r="R20" s="133"/>
    </row>
    <row r="21" spans="3:18" ht="20.100000000000001" customHeight="1" thickBot="1" x14ac:dyDescent="0.3">
      <c r="C21" s="185"/>
      <c r="D21" s="184"/>
      <c r="E21" s="150"/>
      <c r="F21" s="149"/>
      <c r="G21" s="127"/>
      <c r="H21" s="123" t="str">
        <f>IF(J24="Bye",J24,IF(OR(ISBLANK(J19),ISBLANK(J24)),"",IF(OR(ISBLANK(K19),ISBLANK(K24)),"",IF(K19&lt;K24,J19,J24))))</f>
        <v/>
      </c>
      <c r="I21" s="275"/>
      <c r="J21" s="124" t="s">
        <v>42</v>
      </c>
      <c r="K21" s="125"/>
      <c r="L21" s="126" t="str">
        <f>IF(J24="Bye",J19,IF(OR(ISBLANK(J19),ISBLANK(J24)),"",IF(OR(ISBLANK(K19),ISBLANK(K24)),"",IF(K19&gt;K24,J19,J24))))</f>
        <v/>
      </c>
      <c r="M21" s="127"/>
      <c r="N21" s="149"/>
      <c r="O21" s="149"/>
      <c r="P21" s="185"/>
      <c r="Q21" s="184"/>
      <c r="R21" s="133"/>
    </row>
    <row r="22" spans="3:18" ht="20.100000000000001" customHeight="1" thickTop="1" x14ac:dyDescent="0.35">
      <c r="C22" s="185"/>
      <c r="D22" s="184"/>
      <c r="E22" s="150"/>
      <c r="F22" s="149"/>
      <c r="G22" s="128"/>
      <c r="H22" s="129" t="str">
        <f>IF(H21="","",IF(K19&lt;K24,K19&amp;"-"&amp;K24,K24&amp;"-"&amp;K19))</f>
        <v/>
      </c>
      <c r="I22" s="273"/>
      <c r="J22" s="130" t="s">
        <v>32</v>
      </c>
      <c r="K22" s="125"/>
      <c r="L22" s="131" t="str">
        <f>IF(L21="","",IF(K19&gt;K24,K19&amp;"-"&amp;K24,K24&amp;"-"&amp;K19))</f>
        <v/>
      </c>
      <c r="M22" s="132"/>
      <c r="N22" s="150"/>
      <c r="O22" s="149"/>
      <c r="P22" s="185"/>
      <c r="Q22" s="184"/>
      <c r="R22" s="133"/>
    </row>
    <row r="23" spans="3:18" ht="20.100000000000001" customHeight="1" thickBot="1" x14ac:dyDescent="0.3">
      <c r="C23" s="185"/>
      <c r="D23" s="184"/>
      <c r="E23" s="150"/>
      <c r="F23" s="149"/>
      <c r="G23" s="134"/>
      <c r="H23" s="135"/>
      <c r="I23" s="276"/>
      <c r="J23" s="136" t="str">
        <f>IF(ISBLANK(J24),"",IFERROR(_xlfn.XLOOKUP(J24,'List of Teams'!$B$2:$B$65,'List of Teams'!$C$2:$C$65),""))</f>
        <v/>
      </c>
      <c r="K23" s="137"/>
      <c r="L23" s="132"/>
      <c r="M23" s="132"/>
      <c r="N23" s="150"/>
      <c r="O23" s="149"/>
      <c r="P23" s="185"/>
      <c r="Q23" s="184"/>
      <c r="R23" s="133"/>
    </row>
    <row r="24" spans="3:18" ht="20.100000000000001" customHeight="1" thickTop="1" x14ac:dyDescent="0.25">
      <c r="C24" s="185"/>
      <c r="D24" s="184"/>
      <c r="E24" s="150"/>
      <c r="F24" s="149"/>
      <c r="G24" s="134"/>
      <c r="H24" s="132"/>
      <c r="I24" s="273">
        <v>12</v>
      </c>
      <c r="J24" s="117"/>
      <c r="K24" s="138"/>
      <c r="L24" s="132"/>
      <c r="M24" s="132"/>
      <c r="N24" s="150"/>
      <c r="O24" s="149"/>
      <c r="P24" s="185"/>
      <c r="Q24" s="184"/>
      <c r="R24" s="133"/>
    </row>
    <row r="25" spans="3:18" ht="20.100000000000001" customHeight="1" thickBot="1" x14ac:dyDescent="0.3">
      <c r="C25" s="185"/>
      <c r="D25" s="184"/>
      <c r="E25" s="163"/>
      <c r="F25" s="164" t="str">
        <f>IF(F26="","",IF(G21&gt;G30,G21&amp;"-"&amp;G30,G30&amp;"-"&amp;G21))</f>
        <v/>
      </c>
      <c r="G25" s="134"/>
      <c r="H25" s="141" t="s">
        <v>52</v>
      </c>
      <c r="I25" s="142"/>
      <c r="J25" s="132"/>
      <c r="K25" s="132"/>
      <c r="L25" s="141" t="s">
        <v>37</v>
      </c>
      <c r="M25" s="132"/>
      <c r="N25" s="165" t="str">
        <f>IF(N26="","",IF(M21&gt;M30,M21&amp;"-"&amp;M30,M30&amp;"-"&amp;M21))</f>
        <v/>
      </c>
      <c r="O25" s="166"/>
      <c r="P25" s="185"/>
      <c r="Q25" s="184"/>
      <c r="R25" s="133"/>
    </row>
    <row r="26" spans="3:18" ht="20.100000000000001" customHeight="1" thickTop="1" x14ac:dyDescent="0.35">
      <c r="C26" s="185"/>
      <c r="D26" s="184"/>
      <c r="E26" s="167"/>
      <c r="F26" s="168" t="str">
        <f>IF(H30="Bye",H21,IF(OR(ISBLANK(H21),ISBLANK(H30)),"",IF(OR(ISBLANK(G21),ISBLANK(G30)),"",IF(G21&gt;G30,H21,H30))))</f>
        <v/>
      </c>
      <c r="G26" s="134"/>
      <c r="H26" s="147" t="s">
        <v>32</v>
      </c>
      <c r="I26" s="142"/>
      <c r="J26" s="132"/>
      <c r="K26" s="132"/>
      <c r="L26" s="147" t="s">
        <v>32</v>
      </c>
      <c r="M26" s="132"/>
      <c r="N26" s="169" t="str">
        <f>IF(L30="Bye",L21,IF(OR(ISBLANK(L21),ISBLANK(L30)),"",IF(OR(ISBLANK(M21),ISBLANK(M30)),"",IF(M21&gt;M30,L21,L30))))</f>
        <v/>
      </c>
      <c r="O26" s="167"/>
      <c r="P26" s="184"/>
      <c r="Q26" s="184"/>
      <c r="R26" s="133"/>
    </row>
    <row r="27" spans="3:18" ht="20.100000000000001" customHeight="1" thickBot="1" x14ac:dyDescent="0.3">
      <c r="C27" s="185"/>
      <c r="D27" s="184"/>
      <c r="E27" s="184"/>
      <c r="F27" s="184"/>
      <c r="G27" s="134"/>
      <c r="H27" s="132"/>
      <c r="I27" s="273">
        <v>4</v>
      </c>
      <c r="J27" s="117"/>
      <c r="K27" s="118"/>
      <c r="L27" s="132"/>
      <c r="M27" s="132"/>
      <c r="N27" s="185"/>
      <c r="O27" s="184"/>
      <c r="P27" s="184"/>
      <c r="Q27" s="184"/>
      <c r="R27" s="133"/>
    </row>
    <row r="28" spans="3:18" ht="20.100000000000001" customHeight="1" thickTop="1" x14ac:dyDescent="0.25">
      <c r="C28" s="185"/>
      <c r="D28" s="184"/>
      <c r="E28" s="184"/>
      <c r="F28" s="184"/>
      <c r="G28" s="134"/>
      <c r="H28" s="135"/>
      <c r="I28" s="274"/>
      <c r="J28" s="120" t="str">
        <f>IF(ISBLANK(J27),"",IFERROR(_xlfn.XLOOKUP(J27,'List of Teams'!$B$2:$B$65,'List of Teams'!$C$2:$C$65),""))</f>
        <v/>
      </c>
      <c r="K28" s="121"/>
      <c r="L28" s="132"/>
      <c r="M28" s="132"/>
      <c r="N28" s="185"/>
      <c r="O28" s="184"/>
      <c r="P28" s="184"/>
      <c r="Q28" s="184"/>
      <c r="R28" s="133"/>
    </row>
    <row r="29" spans="3:18" ht="20.100000000000001" customHeight="1" thickBot="1" x14ac:dyDescent="0.3">
      <c r="C29" s="185"/>
      <c r="D29" s="184"/>
      <c r="E29" s="184"/>
      <c r="F29" s="184"/>
      <c r="G29" s="151"/>
      <c r="H29" s="152" t="str">
        <f>IF(H30="","",IF(K27&lt;K32,K27&amp;"-"&amp;K32,K32&amp;"-"&amp;K27))</f>
        <v/>
      </c>
      <c r="I29" s="273"/>
      <c r="J29" s="124" t="s">
        <v>43</v>
      </c>
      <c r="K29" s="125"/>
      <c r="L29" s="131" t="str">
        <f>IF(L30="","",IF(K27&gt;K32,K27&amp;"-"&amp;K32,K32&amp;"-"&amp;K27))</f>
        <v/>
      </c>
      <c r="M29" s="153"/>
      <c r="N29" s="185"/>
      <c r="O29" s="184"/>
      <c r="P29" s="184"/>
      <c r="Q29" s="184"/>
      <c r="R29" s="133"/>
    </row>
    <row r="30" spans="3:18" ht="20.100000000000001" customHeight="1" thickTop="1" x14ac:dyDescent="0.35">
      <c r="C30" s="185"/>
      <c r="D30" s="184"/>
      <c r="E30" s="184"/>
      <c r="F30" s="184"/>
      <c r="G30" s="154"/>
      <c r="H30" s="155" t="str">
        <f>IF(J32="Bye",J32,IF(OR(ISBLANK(J27),ISBLANK(J32)),"",IF(OR(ISBLANK(K27),ISBLANK(K32)),"",IF(K27&lt;K32,J27,J32))))</f>
        <v/>
      </c>
      <c r="I30" s="275"/>
      <c r="J30" s="130" t="s">
        <v>32</v>
      </c>
      <c r="K30" s="125"/>
      <c r="L30" s="156" t="str">
        <f>IF(J32="Bye",J27,IF(OR(ISBLANK(J27),ISBLANK(J32)),"",IF(OR(ISBLANK(K27),ISBLANK(K32)),"",IF(K27&gt;K32,J27,J32))))</f>
        <v/>
      </c>
      <c r="M30" s="154"/>
      <c r="N30" s="184"/>
      <c r="O30" s="184"/>
      <c r="P30" s="184"/>
      <c r="Q30" s="184"/>
      <c r="R30" s="133"/>
    </row>
    <row r="31" spans="3:18" ht="20.100000000000001" customHeight="1" thickBot="1" x14ac:dyDescent="0.3">
      <c r="C31" s="185"/>
      <c r="D31" s="184"/>
      <c r="E31" s="184"/>
      <c r="F31" s="184"/>
      <c r="G31" s="184"/>
      <c r="H31" s="186"/>
      <c r="I31" s="276"/>
      <c r="J31" s="136" t="str">
        <f>IF(ISBLANK(J32),"",IFERROR(_xlfn.XLOOKUP(J32,'List of Teams'!$B$2:$B$65,'List of Teams'!$C$2:$C$65),""))</f>
        <v/>
      </c>
      <c r="K31" s="137"/>
      <c r="L31" s="184"/>
      <c r="M31" s="184"/>
      <c r="N31" s="184"/>
      <c r="O31" s="184"/>
      <c r="P31" s="184"/>
      <c r="Q31" s="184"/>
      <c r="R31" s="133"/>
    </row>
    <row r="32" spans="3:18" ht="20.100000000000001" customHeight="1" thickTop="1" x14ac:dyDescent="0.25">
      <c r="C32" s="185"/>
      <c r="D32" s="184"/>
      <c r="E32" s="184"/>
      <c r="F32" s="184"/>
      <c r="G32" s="184"/>
      <c r="H32" s="184"/>
      <c r="I32" s="273">
        <v>13</v>
      </c>
      <c r="J32" s="117"/>
      <c r="K32" s="138"/>
      <c r="L32" s="184"/>
      <c r="M32" s="184"/>
      <c r="N32" s="184"/>
      <c r="O32" s="184"/>
      <c r="P32" s="184"/>
      <c r="Q32" s="184"/>
      <c r="R32" s="133"/>
    </row>
    <row r="33" spans="2:18" ht="20.100000000000001" customHeight="1" thickBot="1" x14ac:dyDescent="0.3">
      <c r="B33" s="179" t="str">
        <f>IF(D50="Bye",D17,IF(OR(ISBLANK(D17),ISBLANK(D50)),"",IF(OR(ISBLANK(C17),ISBLANK(C50)),"",IF(C17&gt;C50,D17,D50))))</f>
        <v/>
      </c>
      <c r="C33" s="185"/>
      <c r="D33" s="187" t="s">
        <v>55</v>
      </c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7" t="s">
        <v>33</v>
      </c>
      <c r="Q33" s="184"/>
      <c r="R33" s="180" t="str">
        <f>IF(P50="Bye",P17,IF(OR(ISBLANK(P17),ISBLANK(P50)),"",IF(OR(ISBLANK(Q17),ISBLANK(Q50)),"",IF(Q17&gt;Q50,P17,P50))))</f>
        <v/>
      </c>
    </row>
    <row r="34" spans="2:18" ht="20.100000000000001" customHeight="1" thickTop="1" x14ac:dyDescent="0.35">
      <c r="B34" s="160" t="str">
        <f>IF(B33="","",IF(C17&gt;C50,C17&amp;"-"&amp;C50,C50&amp;"-"&amp;C17))</f>
        <v/>
      </c>
      <c r="C34" s="185"/>
      <c r="D34" s="188" t="s">
        <v>32</v>
      </c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8" t="s">
        <v>32</v>
      </c>
      <c r="Q34" s="184"/>
      <c r="R34" s="162" t="str">
        <f>IF(R33="","",IF(Q17&gt;Q50,Q17&amp;"-"&amp;Q50,Q50&amp;"-"&amp;Q17))</f>
        <v/>
      </c>
    </row>
    <row r="35" spans="2:18" ht="20.100000000000001" customHeight="1" thickBot="1" x14ac:dyDescent="0.3">
      <c r="C35" s="185"/>
      <c r="D35" s="184"/>
      <c r="E35" s="184"/>
      <c r="F35" s="184"/>
      <c r="G35" s="184"/>
      <c r="H35" s="184"/>
      <c r="I35" s="273">
        <v>3</v>
      </c>
      <c r="J35" s="117"/>
      <c r="K35" s="118"/>
      <c r="L35" s="184"/>
      <c r="M35" s="184"/>
      <c r="N35" s="184"/>
      <c r="O35" s="184"/>
      <c r="P35" s="184"/>
      <c r="Q35" s="184"/>
      <c r="R35" s="133"/>
    </row>
    <row r="36" spans="2:18" ht="20.100000000000001" customHeight="1" thickTop="1" x14ac:dyDescent="0.25">
      <c r="C36" s="185"/>
      <c r="D36" s="184"/>
      <c r="E36" s="184"/>
      <c r="F36" s="184"/>
      <c r="G36" s="184"/>
      <c r="H36" s="186"/>
      <c r="I36" s="274"/>
      <c r="J36" s="120" t="str">
        <f>IF(ISBLANK(J35),"",IFERROR(_xlfn.XLOOKUP(J35,'List of Teams'!$B$2:$B$65,'List of Teams'!$C$2:$C$65),""))</f>
        <v/>
      </c>
      <c r="K36" s="121"/>
      <c r="L36" s="184"/>
      <c r="M36" s="184"/>
      <c r="N36" s="184"/>
      <c r="O36" s="184"/>
      <c r="P36" s="184"/>
      <c r="Q36" s="184"/>
      <c r="R36" s="133"/>
    </row>
    <row r="37" spans="2:18" ht="20.100000000000001" customHeight="1" thickBot="1" x14ac:dyDescent="0.3">
      <c r="C37" s="185"/>
      <c r="D37" s="184"/>
      <c r="E37" s="184"/>
      <c r="F37" s="184"/>
      <c r="G37" s="127"/>
      <c r="H37" s="123" t="str">
        <f>IF(J40="Bye",J40,IF(OR(ISBLANK(J35),ISBLANK(J40)),"",IF(OR(ISBLANK(K35),ISBLANK(K40)),"",IF(K35&lt;K40,J35,J40))))</f>
        <v/>
      </c>
      <c r="I37" s="275"/>
      <c r="J37" s="124" t="s">
        <v>44</v>
      </c>
      <c r="K37" s="125"/>
      <c r="L37" s="126" t="str">
        <f>IF(J40="Bye",J35,IF(OR(ISBLANK(J35),ISBLANK(J40)),"",IF(OR(ISBLANK(K35),ISBLANK(K40)),"",IF(K35&gt;K40,J35,J40))))</f>
        <v/>
      </c>
      <c r="M37" s="127"/>
      <c r="N37" s="184"/>
      <c r="O37" s="184"/>
      <c r="P37" s="184"/>
      <c r="Q37" s="184"/>
      <c r="R37" s="133"/>
    </row>
    <row r="38" spans="2:18" ht="20.100000000000001" customHeight="1" thickTop="1" x14ac:dyDescent="0.35">
      <c r="C38" s="185"/>
      <c r="D38" s="184"/>
      <c r="E38" s="184"/>
      <c r="F38" s="184"/>
      <c r="G38" s="128"/>
      <c r="H38" s="129" t="str">
        <f>IF(H37="","",IF(K35&lt;K40,K35&amp;"-"&amp;K40,K40&amp;"-"&amp;K35))</f>
        <v/>
      </c>
      <c r="I38" s="277"/>
      <c r="J38" s="130" t="s">
        <v>32</v>
      </c>
      <c r="K38" s="125"/>
      <c r="L38" s="131" t="str">
        <f>IF(L37="","",IF(K35&gt;K40,K35&amp;"-"&amp;K40,K40&amp;"-"&amp;K35))</f>
        <v/>
      </c>
      <c r="M38" s="132"/>
      <c r="N38" s="185"/>
      <c r="O38" s="184"/>
      <c r="P38" s="184"/>
      <c r="Q38" s="184"/>
      <c r="R38" s="133"/>
    </row>
    <row r="39" spans="2:18" ht="20.100000000000001" customHeight="1" thickBot="1" x14ac:dyDescent="0.3">
      <c r="C39" s="185"/>
      <c r="D39" s="184"/>
      <c r="E39" s="184"/>
      <c r="F39" s="184"/>
      <c r="G39" s="134"/>
      <c r="H39" s="135"/>
      <c r="I39" s="276"/>
      <c r="J39" s="136" t="str">
        <f>IF(ISBLANK(J40),"",IFERROR(_xlfn.XLOOKUP(J40,'List of Teams'!$B$2:$B$65,'List of Teams'!$C$2:$C$65),""))</f>
        <v/>
      </c>
      <c r="K39" s="137"/>
      <c r="L39" s="132"/>
      <c r="M39" s="132"/>
      <c r="N39" s="185"/>
      <c r="O39" s="184"/>
      <c r="P39" s="184"/>
      <c r="Q39" s="184"/>
      <c r="R39" s="133"/>
    </row>
    <row r="40" spans="2:18" ht="20.100000000000001" customHeight="1" thickTop="1" x14ac:dyDescent="0.25">
      <c r="C40" s="185"/>
      <c r="D40" s="184"/>
      <c r="E40" s="184"/>
      <c r="F40" s="184"/>
      <c r="G40" s="134"/>
      <c r="H40" s="132"/>
      <c r="I40" s="273">
        <v>14</v>
      </c>
      <c r="J40" s="117"/>
      <c r="K40" s="138"/>
      <c r="L40" s="132"/>
      <c r="M40" s="132"/>
      <c r="N40" s="185"/>
      <c r="O40" s="184"/>
      <c r="P40" s="184"/>
      <c r="Q40" s="184"/>
      <c r="R40" s="133"/>
    </row>
    <row r="41" spans="2:18" ht="20.100000000000001" customHeight="1" thickBot="1" x14ac:dyDescent="0.3">
      <c r="C41" s="185"/>
      <c r="D41" s="184"/>
      <c r="E41" s="144"/>
      <c r="F41" s="140" t="str">
        <f>IF(H46="Bye",H37,IF(OR(ISBLANK(H37),ISBLANK(H46)),"",IF(OR(ISBLANK(G37),ISBLANK(G46)),"",IF(G37&gt;G46,H37,H46))))</f>
        <v/>
      </c>
      <c r="G41" s="134"/>
      <c r="H41" s="141" t="s">
        <v>51</v>
      </c>
      <c r="I41" s="142"/>
      <c r="J41" s="132"/>
      <c r="K41" s="132"/>
      <c r="L41" s="141" t="s">
        <v>38</v>
      </c>
      <c r="M41" s="132"/>
      <c r="N41" s="143" t="str">
        <f>IF(L46="Bye",L37,IF(OR(ISBLANK(L37),ISBLANK(L46)),"",IF(OR(ISBLANK(M37),ISBLANK(M46)),"",IF(M37&gt;M46,L37,L46))))</f>
        <v/>
      </c>
      <c r="O41" s="144"/>
      <c r="P41" s="184"/>
      <c r="Q41" s="184"/>
      <c r="R41" s="133"/>
    </row>
    <row r="42" spans="2:18" ht="20.100000000000001" customHeight="1" thickTop="1" x14ac:dyDescent="0.35">
      <c r="C42" s="185"/>
      <c r="D42" s="184"/>
      <c r="E42" s="145"/>
      <c r="F42" s="146" t="str">
        <f>IF(F41="","",IF(G37&gt;G46,G37&amp;"-"&amp;G46,G46&amp;"-"&amp;G37))</f>
        <v/>
      </c>
      <c r="G42" s="134"/>
      <c r="H42" s="147" t="s">
        <v>32</v>
      </c>
      <c r="I42" s="142"/>
      <c r="J42" s="132"/>
      <c r="K42" s="132"/>
      <c r="L42" s="147" t="s">
        <v>32</v>
      </c>
      <c r="M42" s="132"/>
      <c r="N42" s="148" t="str">
        <f>IF(N41="","",IF(M37&gt;M46,M37&amp;"-"&amp;M46,M46&amp;"-"&amp;M37))</f>
        <v/>
      </c>
      <c r="O42" s="149"/>
      <c r="P42" s="185"/>
      <c r="Q42" s="184"/>
      <c r="R42" s="133"/>
    </row>
    <row r="43" spans="2:18" ht="20.100000000000001" customHeight="1" thickBot="1" x14ac:dyDescent="0.3">
      <c r="C43" s="185"/>
      <c r="D43" s="184"/>
      <c r="E43" s="150"/>
      <c r="F43" s="149"/>
      <c r="G43" s="134"/>
      <c r="H43" s="132"/>
      <c r="I43" s="273">
        <v>6</v>
      </c>
      <c r="J43" s="117"/>
      <c r="K43" s="118"/>
      <c r="L43" s="132"/>
      <c r="M43" s="132"/>
      <c r="N43" s="150"/>
      <c r="O43" s="149"/>
      <c r="P43" s="185"/>
      <c r="Q43" s="184"/>
      <c r="R43" s="133"/>
    </row>
    <row r="44" spans="2:18" ht="20.100000000000001" customHeight="1" thickTop="1" x14ac:dyDescent="0.25">
      <c r="C44" s="185"/>
      <c r="D44" s="184"/>
      <c r="E44" s="150"/>
      <c r="F44" s="149"/>
      <c r="G44" s="134"/>
      <c r="H44" s="135"/>
      <c r="I44" s="274"/>
      <c r="J44" s="120" t="str">
        <f>IF(ISBLANK(J43),"",IFERROR(_xlfn.XLOOKUP(J43,'List of Teams'!$B$2:$B$65,'List of Teams'!$C$2:$C$65),""))</f>
        <v/>
      </c>
      <c r="K44" s="121"/>
      <c r="L44" s="132"/>
      <c r="M44" s="132"/>
      <c r="N44" s="150"/>
      <c r="O44" s="149"/>
      <c r="P44" s="185"/>
      <c r="Q44" s="184"/>
      <c r="R44" s="133"/>
    </row>
    <row r="45" spans="2:18" ht="20.100000000000001" customHeight="1" thickBot="1" x14ac:dyDescent="0.3">
      <c r="C45" s="185"/>
      <c r="D45" s="184"/>
      <c r="E45" s="150"/>
      <c r="F45" s="149"/>
      <c r="G45" s="151"/>
      <c r="H45" s="152" t="str">
        <f>IF(H46="","",IF(K43&lt;K48,K43&amp;"-"&amp;K48,K48&amp;"-"&amp;K43))</f>
        <v/>
      </c>
      <c r="I45" s="273"/>
      <c r="J45" s="124" t="s">
        <v>45</v>
      </c>
      <c r="K45" s="125"/>
      <c r="L45" s="131" t="str">
        <f>IF(L46="","",IF(K43&gt;K48,K43&amp;"-"&amp;K48,K48&amp;"-"&amp;K43))</f>
        <v/>
      </c>
      <c r="M45" s="153"/>
      <c r="N45" s="150"/>
      <c r="O45" s="149"/>
      <c r="P45" s="185"/>
      <c r="Q45" s="184"/>
      <c r="R45" s="133"/>
    </row>
    <row r="46" spans="2:18" ht="20.100000000000001" customHeight="1" thickTop="1" x14ac:dyDescent="0.35">
      <c r="C46" s="185"/>
      <c r="D46" s="184"/>
      <c r="E46" s="150"/>
      <c r="F46" s="149"/>
      <c r="G46" s="154"/>
      <c r="H46" s="155" t="str">
        <f>IF(J48="Bye",J48,IF(OR(ISBLANK(J43),ISBLANK(J48)),"",IF(OR(ISBLANK(K43),ISBLANK(K48)),"",IF(K43&lt;K48,J43,J48))))</f>
        <v/>
      </c>
      <c r="I46" s="275"/>
      <c r="J46" s="130" t="s">
        <v>32</v>
      </c>
      <c r="K46" s="125"/>
      <c r="L46" s="156" t="str">
        <f>IF(J48="Bye",J43,IF(OR(ISBLANK(J43),ISBLANK(J48)),"",IF(OR(ISBLANK(K43),ISBLANK(K48)),"",IF(K43&gt;K48,J43,J48))))</f>
        <v/>
      </c>
      <c r="M46" s="154"/>
      <c r="N46" s="149"/>
      <c r="O46" s="149"/>
      <c r="P46" s="185"/>
      <c r="Q46" s="184"/>
      <c r="R46" s="133"/>
    </row>
    <row r="47" spans="2:18" ht="20.100000000000001" customHeight="1" thickBot="1" x14ac:dyDescent="0.3">
      <c r="C47" s="185"/>
      <c r="D47" s="184"/>
      <c r="E47" s="150"/>
      <c r="F47" s="149"/>
      <c r="G47" s="149"/>
      <c r="H47" s="157"/>
      <c r="I47" s="276"/>
      <c r="J47" s="136" t="str">
        <f>IF(ISBLANK(J48),"",IFERROR(_xlfn.XLOOKUP(J48,'List of Teams'!$B$2:$B$65,'List of Teams'!$C$2:$C$65),""))</f>
        <v/>
      </c>
      <c r="K47" s="137"/>
      <c r="L47" s="149"/>
      <c r="M47" s="149"/>
      <c r="N47" s="149"/>
      <c r="O47" s="149"/>
      <c r="P47" s="185"/>
      <c r="Q47" s="184"/>
      <c r="R47" s="133"/>
    </row>
    <row r="48" spans="2:18" ht="20.100000000000001" customHeight="1" thickTop="1" x14ac:dyDescent="0.25">
      <c r="C48" s="185"/>
      <c r="D48" s="184"/>
      <c r="E48" s="150"/>
      <c r="F48" s="149"/>
      <c r="G48" s="149"/>
      <c r="H48" s="149"/>
      <c r="I48" s="273">
        <v>11</v>
      </c>
      <c r="J48" s="117"/>
      <c r="K48" s="138"/>
      <c r="L48" s="149"/>
      <c r="M48" s="149"/>
      <c r="N48" s="149"/>
      <c r="O48" s="149"/>
      <c r="P48" s="185"/>
      <c r="Q48" s="184"/>
      <c r="R48" s="133"/>
    </row>
    <row r="49" spans="3:18" ht="20.100000000000001" customHeight="1" thickBot="1" x14ac:dyDescent="0.3">
      <c r="C49" s="189"/>
      <c r="D49" s="190" t="str">
        <f>IF(D50="","",IF(E41&gt;E58,E41&amp;"-"&amp;E58,E58&amp;"-"&amp;E41))</f>
        <v/>
      </c>
      <c r="E49" s="150"/>
      <c r="F49" s="159" t="s">
        <v>54</v>
      </c>
      <c r="G49" s="149"/>
      <c r="H49" s="149"/>
      <c r="I49" s="149"/>
      <c r="J49" s="149"/>
      <c r="K49" s="149"/>
      <c r="L49" s="149"/>
      <c r="M49" s="149"/>
      <c r="N49" s="159" t="s">
        <v>35</v>
      </c>
      <c r="O49" s="149"/>
      <c r="P49" s="191" t="str">
        <f>IF(P50="","",IF(O41&gt;O58,O41&amp;"-"&amp;O58,O58&amp;"-"&amp;O41))</f>
        <v/>
      </c>
      <c r="Q49" s="192"/>
      <c r="R49" s="133"/>
    </row>
    <row r="50" spans="3:18" ht="20.100000000000001" customHeight="1" thickTop="1" x14ac:dyDescent="0.35">
      <c r="C50" s="193"/>
      <c r="D50" s="194" t="str">
        <f>IF(F58="Bye",F41,IF(OR(ISBLANK(F41),ISBLANK(F58)),"",IF(OR(ISBLANK(E41),ISBLANK(E58)),"",IF(E41&gt;E58,F41,F58))))</f>
        <v/>
      </c>
      <c r="E50" s="150"/>
      <c r="F50" s="161" t="s">
        <v>32</v>
      </c>
      <c r="G50" s="149"/>
      <c r="H50" s="149"/>
      <c r="I50" s="149"/>
      <c r="J50" s="149"/>
      <c r="K50" s="149"/>
      <c r="L50" s="149"/>
      <c r="M50" s="149"/>
      <c r="N50" s="161" t="s">
        <v>32</v>
      </c>
      <c r="O50" s="149"/>
      <c r="P50" s="195" t="str">
        <f>IF(N58="Bye",N41,IF(OR(ISBLANK(N41),ISBLANK(N58)),"",IF(OR(ISBLANK(O41),ISBLANK(O58)),"",IF(O41&gt;O58,N41,N58))))</f>
        <v/>
      </c>
      <c r="Q50" s="193"/>
    </row>
    <row r="51" spans="3:18" ht="20.100000000000001" customHeight="1" thickBot="1" x14ac:dyDescent="0.3">
      <c r="E51" s="150"/>
      <c r="F51" s="149"/>
      <c r="G51" s="149"/>
      <c r="H51" s="149"/>
      <c r="I51" s="273">
        <v>7</v>
      </c>
      <c r="J51" s="117"/>
      <c r="K51" s="118"/>
      <c r="L51" s="149"/>
      <c r="M51" s="149"/>
      <c r="N51" s="149"/>
      <c r="O51" s="149"/>
      <c r="P51" s="133"/>
    </row>
    <row r="52" spans="3:18" ht="20.100000000000001" customHeight="1" thickTop="1" x14ac:dyDescent="0.25">
      <c r="E52" s="150"/>
      <c r="F52" s="149"/>
      <c r="G52" s="149"/>
      <c r="H52" s="157"/>
      <c r="I52" s="274"/>
      <c r="J52" s="120" t="str">
        <f>IF(ISBLANK(J51),"",IFERROR(_xlfn.XLOOKUP(J51,'List of Teams'!$B$2:$B$65,'List of Teams'!$C$2:$C$65),""))</f>
        <v/>
      </c>
      <c r="K52" s="121"/>
      <c r="L52" s="149"/>
      <c r="M52" s="149"/>
      <c r="N52" s="149"/>
      <c r="O52" s="149"/>
      <c r="P52" s="133"/>
    </row>
    <row r="53" spans="3:18" ht="20.100000000000001" customHeight="1" thickBot="1" x14ac:dyDescent="0.3">
      <c r="E53" s="150"/>
      <c r="F53" s="149"/>
      <c r="G53" s="127"/>
      <c r="H53" s="123" t="str">
        <f>IF(J56="Bye",J56,IF(OR(ISBLANK(J51),ISBLANK(J56)),"",IF(OR(ISBLANK(K51),ISBLANK(K56)),"",IF(K51&lt;K56,J51,J56))))</f>
        <v/>
      </c>
      <c r="I53" s="275"/>
      <c r="J53" s="124" t="s">
        <v>46</v>
      </c>
      <c r="K53" s="125"/>
      <c r="L53" s="126" t="str">
        <f>IF(J56="Bye",J51,IF(OR(ISBLANK(J51),ISBLANK(J56)),"",IF(OR(ISBLANK(K51),ISBLANK(K56)),"",IF(K51&gt;K56,J51,J56))))</f>
        <v/>
      </c>
      <c r="M53" s="127"/>
      <c r="N53" s="149"/>
      <c r="O53" s="149"/>
      <c r="P53" s="133"/>
    </row>
    <row r="54" spans="3:18" ht="20.100000000000001" customHeight="1" thickTop="1" x14ac:dyDescent="0.35">
      <c r="E54" s="150"/>
      <c r="F54" s="149"/>
      <c r="G54" s="128"/>
      <c r="H54" s="129" t="str">
        <f>IF(H53="","",IF(K51&lt;K56,K51&amp;"-"&amp;K56,K56&amp;"-"&amp;K51))</f>
        <v/>
      </c>
      <c r="I54" s="273"/>
      <c r="J54" s="130" t="s">
        <v>32</v>
      </c>
      <c r="K54" s="125"/>
      <c r="L54" s="131" t="str">
        <f>IF(L53="","",IF(K51&gt;K56,K51&amp;"-"&amp;K56,K56&amp;"-"&amp;K51))</f>
        <v/>
      </c>
      <c r="M54" s="132"/>
      <c r="N54" s="150"/>
      <c r="O54" s="149"/>
      <c r="P54" s="133"/>
    </row>
    <row r="55" spans="3:18" ht="20.100000000000001" customHeight="1" thickBot="1" x14ac:dyDescent="0.3">
      <c r="E55" s="150"/>
      <c r="F55" s="149"/>
      <c r="G55" s="134"/>
      <c r="H55" s="135"/>
      <c r="I55" s="276"/>
      <c r="J55" s="136" t="str">
        <f>IF(ISBLANK(J56),"",IFERROR(_xlfn.XLOOKUP(J56,'List of Teams'!$B$2:$B$65,'List of Teams'!$C$2:$C$65),""))</f>
        <v/>
      </c>
      <c r="K55" s="137"/>
      <c r="L55" s="132"/>
      <c r="M55" s="132"/>
      <c r="N55" s="150"/>
      <c r="O55" s="149"/>
      <c r="P55" s="133"/>
    </row>
    <row r="56" spans="3:18" ht="20.100000000000001" customHeight="1" thickTop="1" x14ac:dyDescent="0.25">
      <c r="E56" s="150"/>
      <c r="F56" s="149"/>
      <c r="G56" s="134"/>
      <c r="H56" s="132"/>
      <c r="I56" s="273">
        <v>10</v>
      </c>
      <c r="J56" s="117"/>
      <c r="K56" s="138"/>
      <c r="L56" s="132"/>
      <c r="M56" s="132"/>
      <c r="N56" s="150"/>
      <c r="O56" s="149"/>
      <c r="P56" s="133"/>
    </row>
    <row r="57" spans="3:18" ht="20.100000000000001" customHeight="1" thickBot="1" x14ac:dyDescent="0.3">
      <c r="E57" s="163"/>
      <c r="F57" s="164" t="str">
        <f>IF(F58="","",IF(G53&gt;G62,G53&amp;"-"&amp;G62,G62&amp;"-"&amp;G53))</f>
        <v/>
      </c>
      <c r="G57" s="134"/>
      <c r="H57" s="141" t="s">
        <v>50</v>
      </c>
      <c r="I57" s="142"/>
      <c r="J57" s="132"/>
      <c r="K57" s="132"/>
      <c r="L57" s="141" t="s">
        <v>39</v>
      </c>
      <c r="M57" s="132"/>
      <c r="N57" s="165" t="str">
        <f>IF(N58="","",IF(M53&gt;M62,M53&amp;"-"&amp;M62,M62&amp;"-"&amp;M53))</f>
        <v/>
      </c>
      <c r="O57" s="166"/>
      <c r="P57" s="133"/>
    </row>
    <row r="58" spans="3:18" ht="20.100000000000001" customHeight="1" thickTop="1" x14ac:dyDescent="0.35">
      <c r="E58" s="167"/>
      <c r="F58" s="168" t="str">
        <f>IF(H62="Bye",H53,IF(OR(ISBLANK(H53),ISBLANK(H62)),"",IF(OR(ISBLANK(G53),ISBLANK(G62)),"",IF(G53&gt;G62,H53,H62))))</f>
        <v/>
      </c>
      <c r="G58" s="134"/>
      <c r="H58" s="147" t="s">
        <v>32</v>
      </c>
      <c r="I58" s="142"/>
      <c r="J58" s="132"/>
      <c r="K58" s="132"/>
      <c r="L58" s="147" t="s">
        <v>32</v>
      </c>
      <c r="M58" s="132"/>
      <c r="N58" s="169" t="str">
        <f>IF(L62="Bye",L53,IF(OR(ISBLANK(L53),ISBLANK(L62)),"",IF(OR(ISBLANK(M53),ISBLANK(M62)),"",IF(M53&gt;M62,L53,L62))))</f>
        <v/>
      </c>
      <c r="O58" s="167"/>
    </row>
    <row r="59" spans="3:18" ht="20.100000000000001" customHeight="1" thickBot="1" x14ac:dyDescent="0.3">
      <c r="G59" s="134"/>
      <c r="H59" s="132"/>
      <c r="I59" s="273">
        <v>2</v>
      </c>
      <c r="J59" s="117"/>
      <c r="K59" s="118"/>
      <c r="L59" s="132"/>
      <c r="M59" s="132"/>
      <c r="N59" s="133"/>
    </row>
    <row r="60" spans="3:18" ht="20.100000000000001" customHeight="1" thickTop="1" thickBot="1" x14ac:dyDescent="0.3">
      <c r="G60" s="134"/>
      <c r="H60" s="135"/>
      <c r="I60" s="274"/>
      <c r="J60" s="120" t="str">
        <f>IF(ISBLANK(J59),"",IFERROR(_xlfn.XLOOKUP(J59,'List of Teams'!$B$2:$B$65,'List of Teams'!$C$2:$C$65),""))</f>
        <v/>
      </c>
      <c r="K60" s="121"/>
      <c r="L60" s="132"/>
      <c r="M60" s="132"/>
      <c r="N60" s="133"/>
      <c r="P60" s="196" t="str">
        <f>IF(N26="Bye",N26,IF(OR(ISBLANK(N9),ISBLANK(N26)),"",IF(OR(ISBLANK(O9),ISBLANK(O26)),"",IF(O9&lt;O26,N9,N26))))</f>
        <v/>
      </c>
      <c r="Q60" s="178"/>
    </row>
    <row r="61" spans="3:18" ht="20.100000000000001" customHeight="1" thickTop="1" thickBot="1" x14ac:dyDescent="0.3">
      <c r="G61" s="151"/>
      <c r="H61" s="152" t="str">
        <f>IF(H62="","",IF(K59&lt;K64,K59&amp;"-"&amp;K64,K64&amp;"-"&amp;K59))</f>
        <v/>
      </c>
      <c r="I61" s="273"/>
      <c r="J61" s="124" t="s">
        <v>47</v>
      </c>
      <c r="K61" s="125"/>
      <c r="L61" s="131" t="str">
        <f>IF(L62="","",IF(K59&gt;K64,K59&amp;"-"&amp;K64,K64&amp;"-"&amp;K59))</f>
        <v/>
      </c>
      <c r="M61" s="153"/>
      <c r="N61" s="133"/>
      <c r="P61" s="197"/>
      <c r="Q61" s="198"/>
    </row>
    <row r="62" spans="3:18" ht="20.100000000000001" customHeight="1" thickTop="1" thickBot="1" x14ac:dyDescent="0.4">
      <c r="G62" s="154"/>
      <c r="H62" s="155" t="str">
        <f>IF(J64="Bye",J64,IF(OR(ISBLANK(J59),ISBLANK(J64)),"",IF(OR(ISBLANK(K59),ISBLANK(K64)),"",IF(K59&lt;K64,J59,J64))))</f>
        <v/>
      </c>
      <c r="I62" s="275"/>
      <c r="J62" s="130" t="s">
        <v>32</v>
      </c>
      <c r="K62" s="125"/>
      <c r="L62" s="156" t="str">
        <f>IF(J64="Bye",J59,IF(OR(ISBLANK(J59),ISBLANK(J64)),"",IF(OR(ISBLANK(K59),ISBLANK(K64)),"",IF(K59&gt;K64,J59,J64))))</f>
        <v/>
      </c>
      <c r="M62" s="154"/>
      <c r="P62" s="187" t="s">
        <v>48</v>
      </c>
      <c r="Q62" s="186"/>
      <c r="R62" s="189"/>
    </row>
    <row r="63" spans="3:18" ht="20.100000000000001" customHeight="1" thickTop="1" thickBot="1" x14ac:dyDescent="0.4">
      <c r="H63" s="119"/>
      <c r="I63" s="276"/>
      <c r="J63" s="136" t="str">
        <f>IF(ISBLANK(J64),"",IFERROR(_xlfn.XLOOKUP(J64,'List of Teams'!$B$2:$B$65,'List of Teams'!$C$2:$C$65),""))</f>
        <v/>
      </c>
      <c r="K63" s="137"/>
      <c r="P63" s="188" t="s">
        <v>32</v>
      </c>
      <c r="Q63" s="186"/>
    </row>
    <row r="64" spans="3:18" ht="20.100000000000001" customHeight="1" thickTop="1" thickBot="1" x14ac:dyDescent="0.3">
      <c r="I64" s="273">
        <v>15</v>
      </c>
      <c r="J64" s="117"/>
      <c r="K64" s="138"/>
      <c r="P64" s="199"/>
      <c r="Q64" s="200"/>
    </row>
    <row r="65" spans="16:17" ht="19.5" thickTop="1" x14ac:dyDescent="0.25">
      <c r="P65" s="201" t="str">
        <f>IF(N58="Bye",N58,IF(OR(ISBLANK(N41),ISBLANK(N58)),"",IF(OR(ISBLANK(O41),ISBLANK(O58)),"",IF(O41&lt;O58,N41,N58))))</f>
        <v/>
      </c>
      <c r="Q65" s="193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873BD-1CFE-4B8C-90FB-2F10A8C9ACAD}">
  <sheetPr codeName="Sheet12">
    <tabColor rgb="FFFFFF00"/>
  </sheetPr>
  <dimension ref="B1:V129"/>
  <sheetViews>
    <sheetView showGridLines="0" zoomScale="57" zoomScaleNormal="57" workbookViewId="0"/>
  </sheetViews>
  <sheetFormatPr defaultRowHeight="15" x14ac:dyDescent="0.25"/>
  <cols>
    <col min="1" max="1" width="5.7109375" style="114" customWidth="1"/>
    <col min="2" max="2" width="50.7109375" style="114" customWidth="1"/>
    <col min="3" max="3" width="5.7109375" style="114" customWidth="1"/>
    <col min="4" max="4" width="50.7109375" style="114" customWidth="1"/>
    <col min="5" max="5" width="5.7109375" style="114" customWidth="1"/>
    <col min="6" max="6" width="50.7109375" style="114" customWidth="1"/>
    <col min="7" max="7" width="5.7109375" style="114" customWidth="1"/>
    <col min="8" max="8" width="50.7109375" style="114" customWidth="1"/>
    <col min="9" max="9" width="5.7109375" style="114" customWidth="1"/>
    <col min="10" max="10" width="50.7109375" style="114" customWidth="1"/>
    <col min="11" max="11" width="5.7109375" style="114" customWidth="1"/>
    <col min="12" max="12" width="50.7109375" style="114" customWidth="1"/>
    <col min="13" max="13" width="5.7109375" style="114" customWidth="1"/>
    <col min="14" max="14" width="50.7109375" style="114" customWidth="1"/>
    <col min="15" max="15" width="5.7109375" style="114" customWidth="1"/>
    <col min="16" max="16" width="50.7109375" style="114" customWidth="1"/>
    <col min="17" max="17" width="5.7109375" style="114" customWidth="1"/>
    <col min="18" max="18" width="50.7109375" style="114" customWidth="1"/>
    <col min="19" max="19" width="5.7109375" style="114" customWidth="1"/>
    <col min="20" max="20" width="50.7109375" style="114" customWidth="1"/>
    <col min="21" max="21" width="5.7109375" style="114" customWidth="1"/>
    <col min="22" max="22" width="50.7109375" style="114" customWidth="1"/>
    <col min="23" max="23" width="5.7109375" style="114" customWidth="1"/>
    <col min="24" max="16384" width="9.140625" style="114"/>
  </cols>
  <sheetData>
    <row r="1" spans="7:18" ht="45" customHeight="1" x14ac:dyDescent="0.25">
      <c r="K1" s="115"/>
      <c r="L1" s="116"/>
      <c r="M1" s="115"/>
    </row>
    <row r="2" spans="7:18" ht="9.9499999999999993" customHeight="1" x14ac:dyDescent="0.25"/>
    <row r="3" spans="7:18" ht="20.100000000000001" customHeight="1" thickBot="1" x14ac:dyDescent="0.3">
      <c r="K3" s="273">
        <v>1</v>
      </c>
      <c r="L3" s="117"/>
      <c r="M3" s="118"/>
    </row>
    <row r="4" spans="7:18" ht="20.100000000000001" customHeight="1" thickTop="1" x14ac:dyDescent="0.25">
      <c r="J4" s="119"/>
      <c r="K4" s="274"/>
      <c r="L4" s="120" t="str">
        <f>IF(ISBLANK(L3),"",IFERROR(_xlfn.XLOOKUP(L3,'List of Teams'!$B$2:$B$65,'List of Teams'!$C$2:$C$65),""))</f>
        <v/>
      </c>
      <c r="M4" s="121"/>
    </row>
    <row r="5" spans="7:18" ht="20.100000000000001" customHeight="1" thickBot="1" x14ac:dyDescent="0.3">
      <c r="I5" s="127"/>
      <c r="J5" s="123" t="str">
        <f>IF(L8="Bye",L8,IF(OR(ISBLANK(L3),ISBLANK(L8)),"",IF(OR(ISBLANK(M3),ISBLANK(M8)),"",IF(M3&lt;M8,L3,L8))))</f>
        <v/>
      </c>
      <c r="K5" s="275"/>
      <c r="L5" s="124" t="s">
        <v>40</v>
      </c>
      <c r="M5" s="125"/>
      <c r="N5" s="126" t="str">
        <f>IF(L8="Bye",L3,IF(OR(ISBLANK(L3),ISBLANK(L8)),"",IF(OR(ISBLANK(M3),ISBLANK(M8)),"",IF(M3&gt;M8,L3,L8))))</f>
        <v/>
      </c>
      <c r="O5" s="127"/>
    </row>
    <row r="6" spans="7:18" ht="20.100000000000001" customHeight="1" thickTop="1" x14ac:dyDescent="0.35">
      <c r="I6" s="128"/>
      <c r="J6" s="129" t="str">
        <f>IF(J5="","",IF(M3&lt;M8,M3&amp;"-"&amp;M8,M8&amp;"-"&amp;M3))</f>
        <v/>
      </c>
      <c r="K6" s="273"/>
      <c r="L6" s="130" t="s">
        <v>32</v>
      </c>
      <c r="M6" s="125"/>
      <c r="N6" s="131" t="str">
        <f>IF(N5="","",IF(M3&gt;M8,M3&amp;"-"&amp;M8,M8&amp;"-"&amp;M3))</f>
        <v/>
      </c>
      <c r="O6" s="132"/>
      <c r="P6" s="133"/>
    </row>
    <row r="7" spans="7:18" ht="20.100000000000001" customHeight="1" thickBot="1" x14ac:dyDescent="0.3">
      <c r="I7" s="134"/>
      <c r="J7" s="135"/>
      <c r="K7" s="276"/>
      <c r="L7" s="136" t="str">
        <f>IF(ISBLANK(L8),"",IFERROR(_xlfn.XLOOKUP(L8,'List of Teams'!$B$2:$B$65,'List of Teams'!$C$2:$C$65),""))</f>
        <v/>
      </c>
      <c r="M7" s="137"/>
      <c r="N7" s="132"/>
      <c r="O7" s="132"/>
      <c r="P7" s="133"/>
    </row>
    <row r="8" spans="7:18" ht="20.100000000000001" customHeight="1" thickTop="1" x14ac:dyDescent="0.25">
      <c r="I8" s="134"/>
      <c r="J8" s="132"/>
      <c r="K8" s="273">
        <v>32</v>
      </c>
      <c r="L8" s="117"/>
      <c r="M8" s="138"/>
      <c r="N8" s="132"/>
      <c r="O8" s="132"/>
      <c r="P8" s="133"/>
    </row>
    <row r="9" spans="7:18" ht="20.100000000000001" customHeight="1" thickBot="1" x14ac:dyDescent="0.3">
      <c r="G9" s="144"/>
      <c r="H9" s="140" t="str">
        <f>IF(J14="Bye",J5,IF(OR(ISBLANK(J5),ISBLANK(J14)),"",IF(OR(ISBLANK(I5),ISBLANK(I14)),"",IF(I5&gt;I14,J5,J14))))</f>
        <v/>
      </c>
      <c r="I9" s="134"/>
      <c r="J9" s="141" t="s">
        <v>107</v>
      </c>
      <c r="K9" s="142"/>
      <c r="L9" s="132"/>
      <c r="M9" s="132"/>
      <c r="N9" s="141" t="s">
        <v>87</v>
      </c>
      <c r="O9" s="132"/>
      <c r="P9" s="143" t="str">
        <f>IF(N14="Bye",N5,IF(OR(ISBLANK(N5),ISBLANK(N14)),"",IF(OR(ISBLANK(O5),ISBLANK(O14)),"",IF(O5&gt;O14,N5,N14))))</f>
        <v/>
      </c>
      <c r="Q9" s="144"/>
    </row>
    <row r="10" spans="7:18" ht="20.100000000000001" customHeight="1" thickTop="1" x14ac:dyDescent="0.35">
      <c r="G10" s="145"/>
      <c r="H10" s="146" t="str">
        <f>IF(H9="","",IF(I5&gt;I14,I5&amp;"-"&amp;I14,I14&amp;"-"&amp;I5))</f>
        <v/>
      </c>
      <c r="I10" s="134"/>
      <c r="J10" s="147" t="s">
        <v>32</v>
      </c>
      <c r="K10" s="142"/>
      <c r="L10" s="132"/>
      <c r="M10" s="132"/>
      <c r="N10" s="147" t="s">
        <v>32</v>
      </c>
      <c r="O10" s="132"/>
      <c r="P10" s="148" t="str">
        <f>IF(P9="","",IF(O5&gt;O14,O5&amp;"-"&amp;O14,O14&amp;"-"&amp;O5))</f>
        <v/>
      </c>
      <c r="Q10" s="149"/>
      <c r="R10" s="133"/>
    </row>
    <row r="11" spans="7:18" ht="20.100000000000001" customHeight="1" thickBot="1" x14ac:dyDescent="0.3">
      <c r="G11" s="150"/>
      <c r="H11" s="149"/>
      <c r="I11" s="134"/>
      <c r="J11" s="132"/>
      <c r="K11" s="273">
        <v>16</v>
      </c>
      <c r="L11" s="117"/>
      <c r="M11" s="118"/>
      <c r="N11" s="132"/>
      <c r="O11" s="132"/>
      <c r="P11" s="150"/>
      <c r="Q11" s="149"/>
      <c r="R11" s="133"/>
    </row>
    <row r="12" spans="7:18" ht="20.100000000000001" customHeight="1" thickTop="1" x14ac:dyDescent="0.25">
      <c r="G12" s="150"/>
      <c r="H12" s="149"/>
      <c r="I12" s="134"/>
      <c r="J12" s="135"/>
      <c r="K12" s="274"/>
      <c r="L12" s="120" t="str">
        <f>IF(ISBLANK(L11),"",IFERROR(_xlfn.XLOOKUP(L11,'List of Teams'!$B$2:$B$65,'List of Teams'!$C$2:$C$65),""))</f>
        <v/>
      </c>
      <c r="M12" s="121"/>
      <c r="N12" s="132"/>
      <c r="O12" s="132"/>
      <c r="P12" s="150"/>
      <c r="Q12" s="149"/>
      <c r="R12" s="133"/>
    </row>
    <row r="13" spans="7:18" ht="20.100000000000001" customHeight="1" thickBot="1" x14ac:dyDescent="0.3">
      <c r="G13" s="150"/>
      <c r="H13" s="149"/>
      <c r="I13" s="151"/>
      <c r="J13" s="152" t="str">
        <f>IF(J14="","",IF(M11&lt;M16,M11&amp;"-"&amp;M16,M16&amp;"-"&amp;M11))</f>
        <v/>
      </c>
      <c r="K13" s="273"/>
      <c r="L13" s="124" t="s">
        <v>41</v>
      </c>
      <c r="M13" s="125"/>
      <c r="N13" s="131" t="str">
        <f>IF(N14="","",IF(M11&gt;M16,M11&amp;"-"&amp;M16,M16&amp;"-"&amp;M11))</f>
        <v/>
      </c>
      <c r="O13" s="153"/>
      <c r="P13" s="150"/>
      <c r="Q13" s="149"/>
      <c r="R13" s="133"/>
    </row>
    <row r="14" spans="7:18" ht="20.100000000000001" customHeight="1" thickTop="1" x14ac:dyDescent="0.35">
      <c r="G14" s="150"/>
      <c r="H14" s="149"/>
      <c r="I14" s="154"/>
      <c r="J14" s="155" t="str">
        <f>IF(L16="Bye",L16,IF(OR(ISBLANK(L11),ISBLANK(L16)),"",IF(OR(ISBLANK(M11),ISBLANK(M16)),"",IF(M11&lt;M16,L11,L16))))</f>
        <v/>
      </c>
      <c r="K14" s="275"/>
      <c r="L14" s="130" t="s">
        <v>32</v>
      </c>
      <c r="M14" s="125"/>
      <c r="N14" s="156" t="str">
        <f>IF(L16="Bye",L11,IF(OR(ISBLANK(L11),ISBLANK(L16)),"",IF(OR(ISBLANK(M11),ISBLANK(M16)),"",IF(M11&gt;M16,L11,L16))))</f>
        <v/>
      </c>
      <c r="O14" s="154"/>
      <c r="P14" s="149"/>
      <c r="Q14" s="149"/>
      <c r="R14" s="133"/>
    </row>
    <row r="15" spans="7:18" ht="20.100000000000001" customHeight="1" thickBot="1" x14ac:dyDescent="0.3">
      <c r="G15" s="150"/>
      <c r="H15" s="149"/>
      <c r="I15" s="149"/>
      <c r="J15" s="157"/>
      <c r="K15" s="276"/>
      <c r="L15" s="136" t="str">
        <f>IF(ISBLANK(L16),"",IFERROR(_xlfn.XLOOKUP(L16,'List of Teams'!$B$2:$B$65,'List of Teams'!$C$2:$C$65),""))</f>
        <v/>
      </c>
      <c r="M15" s="137"/>
      <c r="N15" s="149"/>
      <c r="O15" s="149"/>
      <c r="P15" s="149"/>
      <c r="Q15" s="149"/>
      <c r="R15" s="133"/>
    </row>
    <row r="16" spans="7:18" ht="20.100000000000001" customHeight="1" thickTop="1" x14ac:dyDescent="0.25">
      <c r="G16" s="150"/>
      <c r="H16" s="159" t="s">
        <v>49</v>
      </c>
      <c r="I16" s="149"/>
      <c r="J16" s="149"/>
      <c r="K16" s="273">
        <v>17</v>
      </c>
      <c r="L16" s="117"/>
      <c r="M16" s="138"/>
      <c r="N16" s="149"/>
      <c r="O16" s="149"/>
      <c r="P16" s="159" t="s">
        <v>83</v>
      </c>
      <c r="Q16" s="149"/>
      <c r="R16" s="133"/>
    </row>
    <row r="17" spans="5:20" ht="20.100000000000001" customHeight="1" thickBot="1" x14ac:dyDescent="0.4">
      <c r="E17" s="178"/>
      <c r="F17" s="179" t="str">
        <f>IF(H26="Bye",H9,IF(OR(ISBLANK(H9),ISBLANK(H26)),"",IF(OR(ISBLANK(G9),ISBLANK(G26)),"",IF(G9&gt;G26,H9,H26))))</f>
        <v/>
      </c>
      <c r="G17" s="150"/>
      <c r="H17" s="161" t="s">
        <v>32</v>
      </c>
      <c r="I17" s="149"/>
      <c r="J17" s="149"/>
      <c r="K17" s="149"/>
      <c r="L17" s="149"/>
      <c r="M17" s="149"/>
      <c r="N17" s="149"/>
      <c r="O17" s="149"/>
      <c r="P17" s="161" t="s">
        <v>32</v>
      </c>
      <c r="Q17" s="149"/>
      <c r="R17" s="180" t="str">
        <f>IF(P26="Bye",P9,IF(OR(ISBLANK(P9),ISBLANK(P26)),"",IF(OR(ISBLANK(Q9),ISBLANK(Q26)),"",IF(Q9&gt;Q26,P9,P26))))</f>
        <v/>
      </c>
      <c r="S17" s="178"/>
    </row>
    <row r="18" spans="5:20" ht="20.100000000000001" customHeight="1" thickTop="1" x14ac:dyDescent="0.25">
      <c r="E18" s="181"/>
      <c r="F18" s="182" t="str">
        <f>IF(F17="","",IF(G9&gt;G26,G9&amp;"-"&amp;G26,G26&amp;"-"&amp;G9))</f>
        <v/>
      </c>
      <c r="G18" s="150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83" t="str">
        <f>IF(R17="","",IF(Q9&gt;Q26,Q9&amp;"-"&amp;Q26,Q26&amp;"-"&amp;Q9))</f>
        <v/>
      </c>
      <c r="S18" s="184"/>
      <c r="T18" s="133"/>
    </row>
    <row r="19" spans="5:20" ht="20.100000000000001" customHeight="1" thickBot="1" x14ac:dyDescent="0.3">
      <c r="E19" s="185"/>
      <c r="F19" s="184"/>
      <c r="G19" s="150"/>
      <c r="H19" s="149"/>
      <c r="I19" s="149"/>
      <c r="J19" s="149"/>
      <c r="K19" s="273">
        <v>9</v>
      </c>
      <c r="L19" s="117"/>
      <c r="M19" s="118"/>
      <c r="N19" s="149"/>
      <c r="O19" s="149"/>
      <c r="P19" s="149"/>
      <c r="Q19" s="149"/>
      <c r="R19" s="185"/>
      <c r="S19" s="184"/>
      <c r="T19" s="133"/>
    </row>
    <row r="20" spans="5:20" ht="20.100000000000001" customHeight="1" thickTop="1" x14ac:dyDescent="0.25">
      <c r="E20" s="185"/>
      <c r="F20" s="184"/>
      <c r="G20" s="150"/>
      <c r="H20" s="149"/>
      <c r="I20" s="149"/>
      <c r="J20" s="157"/>
      <c r="K20" s="274"/>
      <c r="L20" s="120" t="str">
        <f>IF(ISBLANK(L19),"",IFERROR(_xlfn.XLOOKUP(L19,'List of Teams'!$B$2:$B$65,'List of Teams'!$C$2:$C$65),""))</f>
        <v/>
      </c>
      <c r="M20" s="121"/>
      <c r="N20" s="149"/>
      <c r="O20" s="149"/>
      <c r="P20" s="149"/>
      <c r="Q20" s="149"/>
      <c r="R20" s="185"/>
      <c r="S20" s="184"/>
      <c r="T20" s="133"/>
    </row>
    <row r="21" spans="5:20" ht="20.100000000000001" customHeight="1" thickBot="1" x14ac:dyDescent="0.3">
      <c r="E21" s="185"/>
      <c r="F21" s="184"/>
      <c r="G21" s="150"/>
      <c r="H21" s="149"/>
      <c r="I21" s="127"/>
      <c r="J21" s="123" t="str">
        <f>IF(L24="Bye",L24,IF(OR(ISBLANK(L19),ISBLANK(L24)),"",IF(OR(ISBLANK(M19),ISBLANK(M24)),"",IF(M19&lt;M24,L19,L24))))</f>
        <v/>
      </c>
      <c r="K21" s="275"/>
      <c r="L21" s="124" t="s">
        <v>42</v>
      </c>
      <c r="M21" s="125"/>
      <c r="N21" s="126" t="str">
        <f>IF(L24="Bye",L19,IF(OR(ISBLANK(L19),ISBLANK(L24)),"",IF(OR(ISBLANK(M19),ISBLANK(M24)),"",IF(M19&gt;M24,L19,L24))))</f>
        <v/>
      </c>
      <c r="O21" s="127"/>
      <c r="P21" s="149"/>
      <c r="Q21" s="149"/>
      <c r="R21" s="185"/>
      <c r="S21" s="184"/>
      <c r="T21" s="133"/>
    </row>
    <row r="22" spans="5:20" ht="20.100000000000001" customHeight="1" thickTop="1" x14ac:dyDescent="0.35">
      <c r="E22" s="185"/>
      <c r="F22" s="184"/>
      <c r="G22" s="150"/>
      <c r="H22" s="149"/>
      <c r="I22" s="128"/>
      <c r="J22" s="129" t="str">
        <f>IF(J21="","",IF(M19&lt;M24,M19&amp;"-"&amp;M24,M24&amp;"-"&amp;M19))</f>
        <v/>
      </c>
      <c r="K22" s="273"/>
      <c r="L22" s="130" t="s">
        <v>32</v>
      </c>
      <c r="M22" s="125"/>
      <c r="N22" s="131" t="str">
        <f>IF(N21="","",IF(M19&gt;M24,M19&amp;"-"&amp;M24,M24&amp;"-"&amp;M19))</f>
        <v/>
      </c>
      <c r="O22" s="132"/>
      <c r="P22" s="150"/>
      <c r="Q22" s="149"/>
      <c r="R22" s="185"/>
      <c r="S22" s="184"/>
      <c r="T22" s="133"/>
    </row>
    <row r="23" spans="5:20" ht="20.100000000000001" customHeight="1" thickBot="1" x14ac:dyDescent="0.3">
      <c r="E23" s="185"/>
      <c r="F23" s="184"/>
      <c r="G23" s="150"/>
      <c r="H23" s="149"/>
      <c r="I23" s="134"/>
      <c r="J23" s="135"/>
      <c r="K23" s="276"/>
      <c r="L23" s="136" t="str">
        <f>IF(ISBLANK(L24),"",IFERROR(_xlfn.XLOOKUP(L24,'List of Teams'!$B$2:$B$65,'List of Teams'!$C$2:$C$65),""))</f>
        <v/>
      </c>
      <c r="M23" s="137"/>
      <c r="N23" s="132"/>
      <c r="O23" s="132"/>
      <c r="P23" s="150"/>
      <c r="Q23" s="149"/>
      <c r="R23" s="185"/>
      <c r="S23" s="184"/>
      <c r="T23" s="133"/>
    </row>
    <row r="24" spans="5:20" ht="20.100000000000001" customHeight="1" thickTop="1" x14ac:dyDescent="0.25">
      <c r="E24" s="185"/>
      <c r="F24" s="184"/>
      <c r="G24" s="150"/>
      <c r="H24" s="149"/>
      <c r="I24" s="134"/>
      <c r="J24" s="132"/>
      <c r="K24" s="273">
        <v>24</v>
      </c>
      <c r="L24" s="117"/>
      <c r="M24" s="138"/>
      <c r="N24" s="132"/>
      <c r="O24" s="132"/>
      <c r="P24" s="150"/>
      <c r="Q24" s="149"/>
      <c r="R24" s="185"/>
      <c r="S24" s="184"/>
      <c r="T24" s="133"/>
    </row>
    <row r="25" spans="5:20" ht="20.100000000000001" customHeight="1" thickBot="1" x14ac:dyDescent="0.3">
      <c r="E25" s="185"/>
      <c r="F25" s="184"/>
      <c r="G25" s="163"/>
      <c r="H25" s="164" t="str">
        <f>IF(H26="","",IF(I21&gt;I30,I21&amp;"-"&amp;I30,I30&amp;"-"&amp;I21))</f>
        <v/>
      </c>
      <c r="I25" s="134"/>
      <c r="J25" s="141" t="s">
        <v>108</v>
      </c>
      <c r="K25" s="142"/>
      <c r="L25" s="132"/>
      <c r="M25" s="132"/>
      <c r="N25" s="141" t="s">
        <v>88</v>
      </c>
      <c r="O25" s="132"/>
      <c r="P25" s="165" t="str">
        <f>IF(P26="","",IF(O21&gt;O30,O21&amp;"-"&amp;O30,O30&amp;"-"&amp;O21))</f>
        <v/>
      </c>
      <c r="Q25" s="166"/>
      <c r="R25" s="185"/>
      <c r="S25" s="184"/>
      <c r="T25" s="133"/>
    </row>
    <row r="26" spans="5:20" ht="20.100000000000001" customHeight="1" thickTop="1" x14ac:dyDescent="0.35">
      <c r="E26" s="185"/>
      <c r="F26" s="184"/>
      <c r="G26" s="167"/>
      <c r="H26" s="168" t="str">
        <f>IF(J30="Bye",J21,IF(OR(ISBLANK(J21),ISBLANK(J30)),"",IF(OR(ISBLANK(I21),ISBLANK(I30)),"",IF(I21&gt;I30,J21,J30))))</f>
        <v/>
      </c>
      <c r="I26" s="134"/>
      <c r="J26" s="147" t="s">
        <v>32</v>
      </c>
      <c r="K26" s="142"/>
      <c r="L26" s="132"/>
      <c r="M26" s="132"/>
      <c r="N26" s="147" t="s">
        <v>32</v>
      </c>
      <c r="O26" s="132"/>
      <c r="P26" s="169" t="str">
        <f>IF(N30="Bye",N21,IF(OR(ISBLANK(N21),ISBLANK(N30)),"",IF(OR(ISBLANK(O21),ISBLANK(O30)),"",IF(O21&gt;O30,N21,N30))))</f>
        <v/>
      </c>
      <c r="Q26" s="167"/>
      <c r="R26" s="184"/>
      <c r="S26" s="184"/>
      <c r="T26" s="133"/>
    </row>
    <row r="27" spans="5:20" ht="20.100000000000001" customHeight="1" thickBot="1" x14ac:dyDescent="0.3">
      <c r="E27" s="185"/>
      <c r="F27" s="184"/>
      <c r="G27" s="184"/>
      <c r="H27" s="184"/>
      <c r="I27" s="134"/>
      <c r="J27" s="132"/>
      <c r="K27" s="273">
        <v>8</v>
      </c>
      <c r="L27" s="117"/>
      <c r="M27" s="118"/>
      <c r="N27" s="132"/>
      <c r="O27" s="132"/>
      <c r="P27" s="185"/>
      <c r="Q27" s="184"/>
      <c r="R27" s="184"/>
      <c r="S27" s="184"/>
      <c r="T27" s="133"/>
    </row>
    <row r="28" spans="5:20" ht="20.100000000000001" customHeight="1" thickTop="1" x14ac:dyDescent="0.25">
      <c r="E28" s="185"/>
      <c r="F28" s="184"/>
      <c r="G28" s="184"/>
      <c r="H28" s="184"/>
      <c r="I28" s="134"/>
      <c r="J28" s="135"/>
      <c r="K28" s="274"/>
      <c r="L28" s="120" t="str">
        <f>IF(ISBLANK(L27),"",IFERROR(_xlfn.XLOOKUP(L27,'List of Teams'!$B$2:$B$65,'List of Teams'!$C$2:$C$65),""))</f>
        <v/>
      </c>
      <c r="M28" s="121"/>
      <c r="N28" s="132"/>
      <c r="O28" s="132"/>
      <c r="P28" s="185"/>
      <c r="Q28" s="184"/>
      <c r="R28" s="184"/>
      <c r="S28" s="184"/>
      <c r="T28" s="133"/>
    </row>
    <row r="29" spans="5:20" ht="20.100000000000001" customHeight="1" thickBot="1" x14ac:dyDescent="0.3">
      <c r="E29" s="185"/>
      <c r="F29" s="184"/>
      <c r="G29" s="184"/>
      <c r="H29" s="184"/>
      <c r="I29" s="151"/>
      <c r="J29" s="152" t="str">
        <f>IF(J30="","",IF(M27&lt;M32,M27&amp;"-"&amp;M32,M32&amp;"-"&amp;M27))</f>
        <v/>
      </c>
      <c r="K29" s="273"/>
      <c r="L29" s="124" t="s">
        <v>43</v>
      </c>
      <c r="M29" s="125"/>
      <c r="N29" s="131" t="str">
        <f>IF(N30="","",IF(M27&gt;M32,M27&amp;"-"&amp;M32,M32&amp;"-"&amp;M27))</f>
        <v/>
      </c>
      <c r="O29" s="153"/>
      <c r="P29" s="185"/>
      <c r="Q29" s="184"/>
      <c r="R29" s="184"/>
      <c r="S29" s="184"/>
      <c r="T29" s="133"/>
    </row>
    <row r="30" spans="5:20" ht="20.100000000000001" customHeight="1" thickTop="1" x14ac:dyDescent="0.35">
      <c r="E30" s="185"/>
      <c r="F30" s="184"/>
      <c r="G30" s="184"/>
      <c r="H30" s="184"/>
      <c r="I30" s="154"/>
      <c r="J30" s="155" t="str">
        <f>IF(L32="Bye",L32,IF(OR(ISBLANK(L27),ISBLANK(L32)),"",IF(OR(ISBLANK(M27),ISBLANK(M32)),"",IF(M27&lt;M32,L27,L32))))</f>
        <v/>
      </c>
      <c r="K30" s="275"/>
      <c r="L30" s="130" t="s">
        <v>32</v>
      </c>
      <c r="M30" s="125"/>
      <c r="N30" s="156" t="str">
        <f>IF(L32="Bye",L27,IF(OR(ISBLANK(L27),ISBLANK(L32)),"",IF(OR(ISBLANK(M27),ISBLANK(M32)),"",IF(M27&gt;M32,L27,L32))))</f>
        <v/>
      </c>
      <c r="O30" s="154"/>
      <c r="P30" s="184"/>
      <c r="Q30" s="184"/>
      <c r="R30" s="184"/>
      <c r="S30" s="184"/>
      <c r="T30" s="133"/>
    </row>
    <row r="31" spans="5:20" ht="20.100000000000001" customHeight="1" thickBot="1" x14ac:dyDescent="0.3">
      <c r="E31" s="185"/>
      <c r="F31" s="184"/>
      <c r="G31" s="184"/>
      <c r="H31" s="184"/>
      <c r="I31" s="184"/>
      <c r="J31" s="186"/>
      <c r="K31" s="276"/>
      <c r="L31" s="136" t="str">
        <f>IF(ISBLANK(L32),"",IFERROR(_xlfn.XLOOKUP(L32,'List of Teams'!$B$2:$B$65,'List of Teams'!$C$2:$C$65),""))</f>
        <v/>
      </c>
      <c r="M31" s="137"/>
      <c r="N31" s="184"/>
      <c r="O31" s="184"/>
      <c r="P31" s="184"/>
      <c r="Q31" s="184"/>
      <c r="R31" s="184"/>
      <c r="S31" s="184"/>
      <c r="T31" s="133"/>
    </row>
    <row r="32" spans="5:20" ht="20.100000000000001" customHeight="1" thickTop="1" x14ac:dyDescent="0.25">
      <c r="E32" s="185"/>
      <c r="F32" s="184"/>
      <c r="G32" s="184"/>
      <c r="H32" s="184"/>
      <c r="I32" s="184"/>
      <c r="J32" s="184"/>
      <c r="K32" s="273">
        <v>25</v>
      </c>
      <c r="L32" s="117"/>
      <c r="M32" s="138"/>
      <c r="N32" s="184"/>
      <c r="O32" s="184"/>
      <c r="P32" s="184"/>
      <c r="Q32" s="184"/>
      <c r="R32" s="184"/>
      <c r="S32" s="184"/>
      <c r="T32" s="133"/>
    </row>
    <row r="33" spans="3:21" ht="20.100000000000001" customHeight="1" thickBot="1" x14ac:dyDescent="0.3">
      <c r="C33" s="202"/>
      <c r="D33" s="203" t="str">
        <f>IF(F50="Bye",F17,IF(OR(ISBLANK(F17),ISBLANK(F50)),"",IF(OR(ISBLANK(E17),ISBLANK(E50)),"",IF(E17&gt;E50,F17,F50))))</f>
        <v/>
      </c>
      <c r="E33" s="185"/>
      <c r="F33" s="187" t="s">
        <v>53</v>
      </c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7" t="s">
        <v>34</v>
      </c>
      <c r="S33" s="184"/>
      <c r="T33" s="204" t="str">
        <f>IF(R50="Bye",R17,IF(OR(ISBLANK(R17),ISBLANK(R50)),"",IF(OR(ISBLANK(S17),ISBLANK(S50)),"",IF(S17&gt;S50,R17,R50))))</f>
        <v/>
      </c>
      <c r="U33" s="202"/>
    </row>
    <row r="34" spans="3:21" ht="20.100000000000001" customHeight="1" thickTop="1" x14ac:dyDescent="0.35">
      <c r="C34" s="205"/>
      <c r="D34" s="206" t="str">
        <f>IF(D33="","",IF(E17&gt;E50,E17&amp;"-"&amp;E50,E50&amp;"-"&amp;E17))</f>
        <v/>
      </c>
      <c r="E34" s="185"/>
      <c r="F34" s="188" t="s">
        <v>32</v>
      </c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8" t="s">
        <v>32</v>
      </c>
      <c r="S34" s="184"/>
      <c r="T34" s="207" t="str">
        <f>IF(T33="","",IF(S17&gt;S50,S17&amp;"-"&amp;S50,S50&amp;"-"&amp;S17))</f>
        <v/>
      </c>
      <c r="U34" s="208"/>
    </row>
    <row r="35" spans="3:21" ht="20.100000000000001" customHeight="1" thickBot="1" x14ac:dyDescent="0.3">
      <c r="C35" s="209"/>
      <c r="D35" s="210"/>
      <c r="E35" s="185"/>
      <c r="F35" s="184"/>
      <c r="G35" s="184"/>
      <c r="H35" s="184"/>
      <c r="I35" s="184"/>
      <c r="J35" s="184"/>
      <c r="K35" s="273">
        <v>4</v>
      </c>
      <c r="L35" s="117"/>
      <c r="M35" s="118"/>
      <c r="N35" s="184"/>
      <c r="O35" s="184"/>
      <c r="P35" s="184"/>
      <c r="Q35" s="184"/>
      <c r="R35" s="184"/>
      <c r="S35" s="184"/>
      <c r="T35" s="209"/>
      <c r="U35" s="211"/>
    </row>
    <row r="36" spans="3:21" ht="20.100000000000001" customHeight="1" thickTop="1" x14ac:dyDescent="0.25">
      <c r="C36" s="209"/>
      <c r="D36" s="210"/>
      <c r="E36" s="185"/>
      <c r="F36" s="184"/>
      <c r="G36" s="184"/>
      <c r="H36" s="184"/>
      <c r="I36" s="184"/>
      <c r="J36" s="186"/>
      <c r="K36" s="274"/>
      <c r="L36" s="120" t="str">
        <f>IF(ISBLANK(L35),"",IFERROR(_xlfn.XLOOKUP(L35,'List of Teams'!$B$2:$B$65,'List of Teams'!$C$2:$C$65),""))</f>
        <v/>
      </c>
      <c r="M36" s="121"/>
      <c r="N36" s="184"/>
      <c r="O36" s="184"/>
      <c r="P36" s="184"/>
      <c r="Q36" s="184"/>
      <c r="R36" s="184"/>
      <c r="S36" s="184"/>
      <c r="T36" s="209"/>
      <c r="U36" s="211"/>
    </row>
    <row r="37" spans="3:21" ht="20.100000000000001" customHeight="1" thickBot="1" x14ac:dyDescent="0.3">
      <c r="C37" s="209"/>
      <c r="D37" s="210"/>
      <c r="E37" s="185"/>
      <c r="F37" s="184"/>
      <c r="G37" s="184"/>
      <c r="H37" s="184"/>
      <c r="I37" s="127"/>
      <c r="J37" s="123" t="str">
        <f>IF(L40="Bye",L40,IF(OR(ISBLANK(L35),ISBLANK(L40)),"",IF(OR(ISBLANK(M35),ISBLANK(M40)),"",IF(M35&lt;M40,L35,L40))))</f>
        <v/>
      </c>
      <c r="K37" s="275"/>
      <c r="L37" s="124" t="s">
        <v>44</v>
      </c>
      <c r="M37" s="125"/>
      <c r="N37" s="126" t="str">
        <f>IF(L40="Bye",L35,IF(OR(ISBLANK(L35),ISBLANK(L40)),"",IF(OR(ISBLANK(M35),ISBLANK(M40)),"",IF(M35&gt;M40,L35,L40))))</f>
        <v/>
      </c>
      <c r="O37" s="127"/>
      <c r="P37" s="184"/>
      <c r="Q37" s="184"/>
      <c r="R37" s="184"/>
      <c r="S37" s="184"/>
      <c r="T37" s="209"/>
      <c r="U37" s="211"/>
    </row>
    <row r="38" spans="3:21" ht="20.100000000000001" customHeight="1" thickTop="1" x14ac:dyDescent="0.35">
      <c r="C38" s="209"/>
      <c r="D38" s="210"/>
      <c r="E38" s="185"/>
      <c r="F38" s="184"/>
      <c r="G38" s="184"/>
      <c r="H38" s="184"/>
      <c r="I38" s="128"/>
      <c r="J38" s="129" t="str">
        <f>IF(J37="","",IF(M35&lt;M40,M35&amp;"-"&amp;M40,M40&amp;"-"&amp;M35))</f>
        <v/>
      </c>
      <c r="K38" s="277"/>
      <c r="L38" s="130" t="s">
        <v>32</v>
      </c>
      <c r="M38" s="125"/>
      <c r="N38" s="131" t="str">
        <f>IF(N37="","",IF(M35&gt;M40,M35&amp;"-"&amp;M40,M40&amp;"-"&amp;M35))</f>
        <v/>
      </c>
      <c r="O38" s="132"/>
      <c r="P38" s="185"/>
      <c r="Q38" s="184"/>
      <c r="R38" s="184"/>
      <c r="S38" s="184"/>
      <c r="T38" s="209"/>
      <c r="U38" s="211"/>
    </row>
    <row r="39" spans="3:21" ht="20.100000000000001" customHeight="1" thickBot="1" x14ac:dyDescent="0.3">
      <c r="C39" s="209"/>
      <c r="D39" s="210"/>
      <c r="E39" s="185"/>
      <c r="F39" s="184"/>
      <c r="G39" s="184"/>
      <c r="H39" s="184"/>
      <c r="I39" s="134"/>
      <c r="J39" s="135"/>
      <c r="K39" s="276"/>
      <c r="L39" s="136" t="str">
        <f>IF(ISBLANK(L40),"",IFERROR(_xlfn.XLOOKUP(L40,'List of Teams'!$B$2:$B$65,'List of Teams'!$C$2:$C$65),""))</f>
        <v/>
      </c>
      <c r="M39" s="137"/>
      <c r="N39" s="132"/>
      <c r="O39" s="132"/>
      <c r="P39" s="185"/>
      <c r="Q39" s="184"/>
      <c r="R39" s="184"/>
      <c r="S39" s="184"/>
      <c r="T39" s="209"/>
      <c r="U39" s="211"/>
    </row>
    <row r="40" spans="3:21" ht="20.100000000000001" customHeight="1" thickTop="1" x14ac:dyDescent="0.25">
      <c r="C40" s="209"/>
      <c r="D40" s="210"/>
      <c r="E40" s="185"/>
      <c r="F40" s="184"/>
      <c r="G40" s="184"/>
      <c r="H40" s="184"/>
      <c r="I40" s="134"/>
      <c r="J40" s="132"/>
      <c r="K40" s="273">
        <v>29</v>
      </c>
      <c r="L40" s="117"/>
      <c r="M40" s="138"/>
      <c r="N40" s="132"/>
      <c r="O40" s="132"/>
      <c r="P40" s="185"/>
      <c r="Q40" s="184"/>
      <c r="R40" s="184"/>
      <c r="S40" s="184"/>
      <c r="T40" s="209"/>
      <c r="U40" s="211"/>
    </row>
    <row r="41" spans="3:21" ht="20.100000000000001" customHeight="1" thickBot="1" x14ac:dyDescent="0.3">
      <c r="C41" s="209"/>
      <c r="D41" s="210"/>
      <c r="E41" s="185"/>
      <c r="F41" s="184"/>
      <c r="G41" s="144"/>
      <c r="H41" s="140" t="str">
        <f>IF(J46="Bye",J37,IF(OR(ISBLANK(J37),ISBLANK(J46)),"",IF(OR(ISBLANK(I37),ISBLANK(I46)),"",IF(I37&gt;I46,J37,J46))))</f>
        <v/>
      </c>
      <c r="I41" s="134"/>
      <c r="J41" s="141" t="s">
        <v>109</v>
      </c>
      <c r="K41" s="142"/>
      <c r="L41" s="132"/>
      <c r="M41" s="132"/>
      <c r="N41" s="141" t="s">
        <v>89</v>
      </c>
      <c r="O41" s="132"/>
      <c r="P41" s="143" t="str">
        <f>IF(N46="Bye",N37,IF(OR(ISBLANK(N37),ISBLANK(N46)),"",IF(OR(ISBLANK(O37),ISBLANK(O46)),"",IF(O37&gt;O46,N37,N46))))</f>
        <v/>
      </c>
      <c r="Q41" s="144"/>
      <c r="R41" s="184"/>
      <c r="S41" s="184"/>
      <c r="T41" s="209"/>
      <c r="U41" s="211"/>
    </row>
    <row r="42" spans="3:21" ht="20.100000000000001" customHeight="1" thickTop="1" x14ac:dyDescent="0.35">
      <c r="C42" s="209"/>
      <c r="D42" s="210"/>
      <c r="E42" s="185"/>
      <c r="F42" s="184"/>
      <c r="G42" s="145"/>
      <c r="H42" s="146" t="str">
        <f>IF(H41="","",IF(I37&gt;I46,I37&amp;"-"&amp;I46,I46&amp;"-"&amp;I37))</f>
        <v/>
      </c>
      <c r="I42" s="134"/>
      <c r="J42" s="147" t="s">
        <v>32</v>
      </c>
      <c r="K42" s="142"/>
      <c r="L42" s="132"/>
      <c r="M42" s="132"/>
      <c r="N42" s="147" t="s">
        <v>32</v>
      </c>
      <c r="O42" s="132"/>
      <c r="P42" s="148" t="str">
        <f>IF(P41="","",IF(O37&gt;O46,O37&amp;"-"&amp;O46,O46&amp;"-"&amp;O37))</f>
        <v/>
      </c>
      <c r="Q42" s="149"/>
      <c r="R42" s="185"/>
      <c r="S42" s="184"/>
      <c r="T42" s="209"/>
      <c r="U42" s="211"/>
    </row>
    <row r="43" spans="3:21" ht="20.100000000000001" customHeight="1" thickBot="1" x14ac:dyDescent="0.3">
      <c r="C43" s="209"/>
      <c r="D43" s="210"/>
      <c r="E43" s="185"/>
      <c r="F43" s="184"/>
      <c r="G43" s="150"/>
      <c r="H43" s="149"/>
      <c r="I43" s="134"/>
      <c r="J43" s="132"/>
      <c r="K43" s="273">
        <v>13</v>
      </c>
      <c r="L43" s="117"/>
      <c r="M43" s="118"/>
      <c r="N43" s="132"/>
      <c r="O43" s="132"/>
      <c r="P43" s="150"/>
      <c r="Q43" s="149"/>
      <c r="R43" s="185"/>
      <c r="S43" s="184"/>
      <c r="T43" s="209"/>
      <c r="U43" s="211"/>
    </row>
    <row r="44" spans="3:21" ht="20.100000000000001" customHeight="1" thickTop="1" x14ac:dyDescent="0.25">
      <c r="C44" s="209"/>
      <c r="D44" s="210"/>
      <c r="E44" s="185"/>
      <c r="F44" s="184"/>
      <c r="G44" s="150"/>
      <c r="H44" s="149"/>
      <c r="I44" s="134"/>
      <c r="J44" s="135"/>
      <c r="K44" s="274"/>
      <c r="L44" s="120" t="str">
        <f>IF(ISBLANK(L43),"",IFERROR(_xlfn.XLOOKUP(L43,'List of Teams'!$B$2:$B$65,'List of Teams'!$C$2:$C$65),""))</f>
        <v/>
      </c>
      <c r="M44" s="121"/>
      <c r="N44" s="132"/>
      <c r="O44" s="132"/>
      <c r="P44" s="150"/>
      <c r="Q44" s="149"/>
      <c r="R44" s="185"/>
      <c r="S44" s="184"/>
      <c r="T44" s="209"/>
      <c r="U44" s="211"/>
    </row>
    <row r="45" spans="3:21" ht="20.100000000000001" customHeight="1" thickBot="1" x14ac:dyDescent="0.3">
      <c r="C45" s="209"/>
      <c r="D45" s="210"/>
      <c r="E45" s="185"/>
      <c r="F45" s="184"/>
      <c r="G45" s="150"/>
      <c r="H45" s="149"/>
      <c r="I45" s="151"/>
      <c r="J45" s="152" t="str">
        <f>IF(J46="","",IF(M43&lt;M48,M43&amp;"-"&amp;M48,M48&amp;"-"&amp;M43))</f>
        <v/>
      </c>
      <c r="K45" s="273"/>
      <c r="L45" s="124" t="s">
        <v>45</v>
      </c>
      <c r="M45" s="125"/>
      <c r="N45" s="131" t="str">
        <f>IF(N46="","",IF(M43&gt;M48,M43&amp;"-"&amp;M48,M48&amp;"-"&amp;M43))</f>
        <v/>
      </c>
      <c r="O45" s="153"/>
      <c r="P45" s="150"/>
      <c r="Q45" s="149"/>
      <c r="R45" s="185"/>
      <c r="S45" s="184"/>
      <c r="T45" s="209"/>
      <c r="U45" s="211"/>
    </row>
    <row r="46" spans="3:21" ht="20.100000000000001" customHeight="1" thickTop="1" x14ac:dyDescent="0.35">
      <c r="C46" s="209"/>
      <c r="D46" s="210"/>
      <c r="E46" s="185"/>
      <c r="F46" s="184"/>
      <c r="G46" s="150"/>
      <c r="H46" s="149"/>
      <c r="I46" s="154"/>
      <c r="J46" s="155" t="str">
        <f>IF(L48="Bye",L48,IF(OR(ISBLANK(L43),ISBLANK(L48)),"",IF(OR(ISBLANK(M43),ISBLANK(M48)),"",IF(M43&lt;M48,L43,L48))))</f>
        <v/>
      </c>
      <c r="K46" s="275"/>
      <c r="L46" s="130" t="s">
        <v>32</v>
      </c>
      <c r="M46" s="125"/>
      <c r="N46" s="156" t="str">
        <f>IF(L48="Bye",L43,IF(OR(ISBLANK(L43),ISBLANK(L48)),"",IF(OR(ISBLANK(M43),ISBLANK(M48)),"",IF(M43&gt;M48,L43,L48))))</f>
        <v/>
      </c>
      <c r="O46" s="154"/>
      <c r="P46" s="149"/>
      <c r="Q46" s="149"/>
      <c r="R46" s="185"/>
      <c r="S46" s="184"/>
      <c r="T46" s="209"/>
      <c r="U46" s="211"/>
    </row>
    <row r="47" spans="3:21" ht="20.100000000000001" customHeight="1" thickBot="1" x14ac:dyDescent="0.3">
      <c r="C47" s="209"/>
      <c r="D47" s="210"/>
      <c r="E47" s="185"/>
      <c r="F47" s="184"/>
      <c r="G47" s="150"/>
      <c r="H47" s="149"/>
      <c r="I47" s="149"/>
      <c r="J47" s="157"/>
      <c r="K47" s="276"/>
      <c r="L47" s="136" t="str">
        <f>IF(ISBLANK(L48),"",IFERROR(_xlfn.XLOOKUP(L48,'List of Teams'!$B$2:$B$65,'List of Teams'!$C$2:$C$65),""))</f>
        <v/>
      </c>
      <c r="M47" s="137"/>
      <c r="N47" s="149"/>
      <c r="O47" s="149"/>
      <c r="P47" s="149"/>
      <c r="Q47" s="149"/>
      <c r="R47" s="185"/>
      <c r="S47" s="184"/>
      <c r="T47" s="209"/>
      <c r="U47" s="211"/>
    </row>
    <row r="48" spans="3:21" ht="20.100000000000001" customHeight="1" thickTop="1" x14ac:dyDescent="0.25">
      <c r="C48" s="209"/>
      <c r="D48" s="210"/>
      <c r="E48" s="185"/>
      <c r="F48" s="184"/>
      <c r="G48" s="150"/>
      <c r="H48" s="149"/>
      <c r="I48" s="149"/>
      <c r="J48" s="149"/>
      <c r="K48" s="273">
        <v>20</v>
      </c>
      <c r="L48" s="117"/>
      <c r="M48" s="138"/>
      <c r="N48" s="149"/>
      <c r="O48" s="149"/>
      <c r="P48" s="149"/>
      <c r="Q48" s="149"/>
      <c r="R48" s="185"/>
      <c r="S48" s="184"/>
      <c r="T48" s="209"/>
      <c r="U48" s="211"/>
    </row>
    <row r="49" spans="3:21" ht="20.100000000000001" customHeight="1" thickBot="1" x14ac:dyDescent="0.3">
      <c r="C49" s="209"/>
      <c r="D49" s="210"/>
      <c r="E49" s="189"/>
      <c r="F49" s="190" t="str">
        <f>IF(F50="","",IF(G41&gt;G58,G41&amp;"-"&amp;G58,G58&amp;"-"&amp;G41))</f>
        <v/>
      </c>
      <c r="G49" s="150"/>
      <c r="H49" s="159" t="s">
        <v>52</v>
      </c>
      <c r="I49" s="149"/>
      <c r="J49" s="149"/>
      <c r="K49" s="149"/>
      <c r="L49" s="149"/>
      <c r="M49" s="149"/>
      <c r="N49" s="149"/>
      <c r="O49" s="149"/>
      <c r="P49" s="159" t="s">
        <v>84</v>
      </c>
      <c r="Q49" s="149"/>
      <c r="R49" s="191" t="str">
        <f>IF(R50="","",IF(Q41&gt;Q58,Q41&amp;"-"&amp;Q58,Q58&amp;"-"&amp;Q41))</f>
        <v/>
      </c>
      <c r="S49" s="192"/>
      <c r="T49" s="209"/>
      <c r="U49" s="211"/>
    </row>
    <row r="50" spans="3:21" ht="20.100000000000001" customHeight="1" thickTop="1" x14ac:dyDescent="0.35">
      <c r="C50" s="209"/>
      <c r="D50" s="210"/>
      <c r="E50" s="193"/>
      <c r="F50" s="194" t="str">
        <f>IF(H58="Bye",H41,IF(OR(ISBLANK(H41),ISBLANK(H58)),"",IF(OR(ISBLANK(G41),ISBLANK(G58)),"",IF(G41&gt;G58,H41,H58))))</f>
        <v/>
      </c>
      <c r="G50" s="150"/>
      <c r="H50" s="161" t="s">
        <v>32</v>
      </c>
      <c r="I50" s="149"/>
      <c r="J50" s="149"/>
      <c r="K50" s="149"/>
      <c r="L50" s="149"/>
      <c r="M50" s="149"/>
      <c r="N50" s="149"/>
      <c r="O50" s="149"/>
      <c r="P50" s="161" t="s">
        <v>32</v>
      </c>
      <c r="Q50" s="149"/>
      <c r="R50" s="195" t="str">
        <f>IF(P58="Bye",P41,IF(OR(ISBLANK(P41),ISBLANK(P58)),"",IF(OR(ISBLANK(Q41),ISBLANK(Q58)),"",IF(Q41&gt;Q58,P41,P58))))</f>
        <v/>
      </c>
      <c r="S50" s="193"/>
      <c r="T50" s="210"/>
      <c r="U50" s="211"/>
    </row>
    <row r="51" spans="3:21" ht="20.100000000000001" customHeight="1" thickBot="1" x14ac:dyDescent="0.3">
      <c r="C51" s="209"/>
      <c r="D51" s="210"/>
      <c r="E51" s="210"/>
      <c r="F51" s="210"/>
      <c r="G51" s="150"/>
      <c r="H51" s="149"/>
      <c r="I51" s="149"/>
      <c r="J51" s="149"/>
      <c r="K51" s="273">
        <v>12</v>
      </c>
      <c r="L51" s="117"/>
      <c r="M51" s="118"/>
      <c r="N51" s="149"/>
      <c r="O51" s="149"/>
      <c r="P51" s="149"/>
      <c r="Q51" s="149"/>
      <c r="R51" s="209"/>
      <c r="S51" s="210"/>
      <c r="T51" s="210"/>
      <c r="U51" s="211"/>
    </row>
    <row r="52" spans="3:21" ht="20.100000000000001" customHeight="1" thickTop="1" x14ac:dyDescent="0.25">
      <c r="C52" s="209"/>
      <c r="D52" s="210"/>
      <c r="E52" s="210"/>
      <c r="F52" s="210"/>
      <c r="G52" s="150"/>
      <c r="H52" s="149"/>
      <c r="I52" s="149"/>
      <c r="J52" s="157"/>
      <c r="K52" s="274"/>
      <c r="L52" s="120" t="str">
        <f>IF(ISBLANK(L51),"",IFERROR(_xlfn.XLOOKUP(L51,'List of Teams'!$B$2:$B$65,'List of Teams'!$C$2:$C$65),""))</f>
        <v/>
      </c>
      <c r="M52" s="121"/>
      <c r="N52" s="149"/>
      <c r="O52" s="149"/>
      <c r="P52" s="149"/>
      <c r="Q52" s="149"/>
      <c r="R52" s="209"/>
      <c r="S52" s="210"/>
      <c r="T52" s="210"/>
      <c r="U52" s="211"/>
    </row>
    <row r="53" spans="3:21" ht="20.100000000000001" customHeight="1" thickBot="1" x14ac:dyDescent="0.3">
      <c r="C53" s="209"/>
      <c r="D53" s="210"/>
      <c r="E53" s="210"/>
      <c r="F53" s="210"/>
      <c r="G53" s="150"/>
      <c r="H53" s="149"/>
      <c r="I53" s="127"/>
      <c r="J53" s="123" t="str">
        <f>IF(L56="Bye",L56,IF(OR(ISBLANK(L51),ISBLANK(L56)),"",IF(OR(ISBLANK(M51),ISBLANK(M56)),"",IF(M51&lt;M56,L51,L56))))</f>
        <v/>
      </c>
      <c r="K53" s="275"/>
      <c r="L53" s="124" t="s">
        <v>46</v>
      </c>
      <c r="M53" s="125"/>
      <c r="N53" s="126" t="str">
        <f>IF(L56="Bye",L51,IF(OR(ISBLANK(L51),ISBLANK(L56)),"",IF(OR(ISBLANK(M51),ISBLANK(M56)),"",IF(M51&gt;M56,L51,L56))))</f>
        <v/>
      </c>
      <c r="O53" s="127"/>
      <c r="P53" s="149"/>
      <c r="Q53" s="149"/>
      <c r="R53" s="209"/>
      <c r="S53" s="210"/>
      <c r="T53" s="210"/>
      <c r="U53" s="211"/>
    </row>
    <row r="54" spans="3:21" ht="20.100000000000001" customHeight="1" thickTop="1" x14ac:dyDescent="0.35">
      <c r="C54" s="209"/>
      <c r="D54" s="210"/>
      <c r="E54" s="210"/>
      <c r="F54" s="210"/>
      <c r="G54" s="150"/>
      <c r="H54" s="149"/>
      <c r="I54" s="128"/>
      <c r="J54" s="129" t="str">
        <f>IF(J53="","",IF(M51&lt;M56,M51&amp;"-"&amp;M56,M56&amp;"-"&amp;M51))</f>
        <v/>
      </c>
      <c r="K54" s="273"/>
      <c r="L54" s="130" t="s">
        <v>32</v>
      </c>
      <c r="M54" s="125"/>
      <c r="N54" s="131" t="str">
        <f>IF(N53="","",IF(M51&gt;M56,M51&amp;"-"&amp;M56,M56&amp;"-"&amp;M51))</f>
        <v/>
      </c>
      <c r="O54" s="132"/>
      <c r="P54" s="150"/>
      <c r="Q54" s="149"/>
      <c r="R54" s="209"/>
      <c r="S54" s="210"/>
      <c r="T54" s="210"/>
      <c r="U54" s="211"/>
    </row>
    <row r="55" spans="3:21" ht="20.100000000000001" customHeight="1" thickBot="1" x14ac:dyDescent="0.3">
      <c r="C55" s="209"/>
      <c r="D55" s="210"/>
      <c r="E55" s="210"/>
      <c r="F55" s="210"/>
      <c r="G55" s="150"/>
      <c r="H55" s="149"/>
      <c r="I55" s="134"/>
      <c r="J55" s="135"/>
      <c r="K55" s="276"/>
      <c r="L55" s="136" t="str">
        <f>IF(ISBLANK(L56),"",IFERROR(_xlfn.XLOOKUP(L56,'List of Teams'!$B$2:$B$65,'List of Teams'!$C$2:$C$65),""))</f>
        <v/>
      </c>
      <c r="M55" s="137"/>
      <c r="N55" s="132"/>
      <c r="O55" s="132"/>
      <c r="P55" s="150"/>
      <c r="Q55" s="149"/>
      <c r="R55" s="209"/>
      <c r="S55" s="210"/>
      <c r="T55" s="210"/>
      <c r="U55" s="211"/>
    </row>
    <row r="56" spans="3:21" ht="20.100000000000001" customHeight="1" thickTop="1" x14ac:dyDescent="0.25">
      <c r="C56" s="209"/>
      <c r="D56" s="210"/>
      <c r="E56" s="210"/>
      <c r="F56" s="210"/>
      <c r="G56" s="150"/>
      <c r="H56" s="149"/>
      <c r="I56" s="134"/>
      <c r="J56" s="132"/>
      <c r="K56" s="273">
        <v>21</v>
      </c>
      <c r="L56" s="117"/>
      <c r="M56" s="138"/>
      <c r="N56" s="132"/>
      <c r="O56" s="132"/>
      <c r="P56" s="150"/>
      <c r="Q56" s="149"/>
      <c r="R56" s="209"/>
      <c r="S56" s="210"/>
      <c r="T56" s="210"/>
      <c r="U56" s="211"/>
    </row>
    <row r="57" spans="3:21" ht="20.100000000000001" customHeight="1" thickBot="1" x14ac:dyDescent="0.3">
      <c r="C57" s="209"/>
      <c r="D57" s="210"/>
      <c r="E57" s="210"/>
      <c r="F57" s="210"/>
      <c r="G57" s="163"/>
      <c r="H57" s="164" t="str">
        <f>IF(H58="","",IF(I53&gt;I62,I53&amp;"-"&amp;I62,I62&amp;"-"&amp;I53))</f>
        <v/>
      </c>
      <c r="I57" s="134"/>
      <c r="J57" s="141" t="s">
        <v>110</v>
      </c>
      <c r="K57" s="142"/>
      <c r="L57" s="132"/>
      <c r="M57" s="132"/>
      <c r="N57" s="141" t="s">
        <v>90</v>
      </c>
      <c r="O57" s="132"/>
      <c r="P57" s="165" t="str">
        <f>IF(P58="","",IF(O53&gt;O62,O53&amp;"-"&amp;O62,O62&amp;"-"&amp;O53))</f>
        <v/>
      </c>
      <c r="Q57" s="166"/>
      <c r="R57" s="209"/>
      <c r="S57" s="210"/>
      <c r="T57" s="210"/>
      <c r="U57" s="211"/>
    </row>
    <row r="58" spans="3:21" ht="20.100000000000001" customHeight="1" thickTop="1" x14ac:dyDescent="0.35">
      <c r="C58" s="209"/>
      <c r="D58" s="210"/>
      <c r="E58" s="210"/>
      <c r="F58" s="210"/>
      <c r="G58" s="167"/>
      <c r="H58" s="168" t="str">
        <f>IF(J62="Bye",J53,IF(OR(ISBLANK(J53),ISBLANK(J62)),"",IF(OR(ISBLANK(I53),ISBLANK(I62)),"",IF(I53&gt;I62,J53,J62))))</f>
        <v/>
      </c>
      <c r="I58" s="134"/>
      <c r="J58" s="147" t="s">
        <v>32</v>
      </c>
      <c r="K58" s="142"/>
      <c r="L58" s="132"/>
      <c r="M58" s="132"/>
      <c r="N58" s="147" t="s">
        <v>32</v>
      </c>
      <c r="O58" s="132"/>
      <c r="P58" s="169" t="str">
        <f>IF(N62="Bye",N53,IF(OR(ISBLANK(N53),ISBLANK(N62)),"",IF(OR(ISBLANK(O53),ISBLANK(O62)),"",IF(O53&gt;O62,N53,N62))))</f>
        <v/>
      </c>
      <c r="Q58" s="167"/>
      <c r="R58" s="210"/>
      <c r="S58" s="210"/>
      <c r="T58" s="210"/>
      <c r="U58" s="211"/>
    </row>
    <row r="59" spans="3:21" ht="20.100000000000001" customHeight="1" thickBot="1" x14ac:dyDescent="0.3">
      <c r="C59" s="209"/>
      <c r="D59" s="210"/>
      <c r="E59" s="210"/>
      <c r="F59" s="210"/>
      <c r="G59" s="210"/>
      <c r="H59" s="210"/>
      <c r="I59" s="134"/>
      <c r="J59" s="132"/>
      <c r="K59" s="273">
        <v>5</v>
      </c>
      <c r="L59" s="117"/>
      <c r="M59" s="118"/>
      <c r="N59" s="132"/>
      <c r="O59" s="132"/>
      <c r="P59" s="209"/>
      <c r="Q59" s="210"/>
      <c r="R59" s="210"/>
      <c r="S59" s="210"/>
      <c r="T59" s="210"/>
      <c r="U59" s="211"/>
    </row>
    <row r="60" spans="3:21" ht="20.100000000000001" customHeight="1" thickTop="1" x14ac:dyDescent="0.25">
      <c r="C60" s="209"/>
      <c r="D60" s="210"/>
      <c r="E60" s="210"/>
      <c r="F60" s="210"/>
      <c r="G60" s="210"/>
      <c r="H60" s="210"/>
      <c r="I60" s="134"/>
      <c r="J60" s="135"/>
      <c r="K60" s="274"/>
      <c r="L60" s="120" t="str">
        <f>IF(ISBLANK(L59),"",IFERROR(_xlfn.XLOOKUP(L59,'List of Teams'!$B$2:$B$65,'List of Teams'!$C$2:$C$65),""))</f>
        <v/>
      </c>
      <c r="M60" s="121"/>
      <c r="N60" s="132"/>
      <c r="O60" s="132"/>
      <c r="P60" s="209"/>
      <c r="Q60" s="210"/>
      <c r="R60" s="210"/>
      <c r="S60" s="210"/>
      <c r="T60" s="210"/>
      <c r="U60" s="211"/>
    </row>
    <row r="61" spans="3:21" ht="20.100000000000001" customHeight="1" thickBot="1" x14ac:dyDescent="0.3">
      <c r="C61" s="209"/>
      <c r="D61" s="210"/>
      <c r="E61" s="210"/>
      <c r="F61" s="210"/>
      <c r="G61" s="210"/>
      <c r="H61" s="210"/>
      <c r="I61" s="151"/>
      <c r="J61" s="152" t="str">
        <f>IF(J62="","",IF(M59&lt;M64,M59&amp;"-"&amp;M64,M64&amp;"-"&amp;M59))</f>
        <v/>
      </c>
      <c r="K61" s="273"/>
      <c r="L61" s="124" t="s">
        <v>47</v>
      </c>
      <c r="M61" s="125"/>
      <c r="N61" s="131" t="str">
        <f>IF(N62="","",IF(M59&gt;M64,M59&amp;"-"&amp;M64,M64&amp;"-"&amp;M59))</f>
        <v/>
      </c>
      <c r="O61" s="153"/>
      <c r="P61" s="209"/>
      <c r="Q61" s="210"/>
      <c r="R61" s="210"/>
      <c r="S61" s="210"/>
      <c r="T61" s="210"/>
      <c r="U61" s="211"/>
    </row>
    <row r="62" spans="3:21" ht="20.100000000000001" customHeight="1" thickTop="1" x14ac:dyDescent="0.35">
      <c r="C62" s="209"/>
      <c r="D62" s="210"/>
      <c r="E62" s="210"/>
      <c r="F62" s="210"/>
      <c r="G62" s="210"/>
      <c r="H62" s="210"/>
      <c r="I62" s="154"/>
      <c r="J62" s="155" t="str">
        <f>IF(L64="Bye",L64,IF(OR(ISBLANK(L59),ISBLANK(L64)),"",IF(OR(ISBLANK(M59),ISBLANK(M64)),"",IF(M59&lt;M64,L59,L64))))</f>
        <v/>
      </c>
      <c r="K62" s="275"/>
      <c r="L62" s="130" t="s">
        <v>32</v>
      </c>
      <c r="M62" s="125"/>
      <c r="N62" s="156" t="str">
        <f>IF(L64="Bye",L59,IF(OR(ISBLANK(L59),ISBLANK(L64)),"",IF(OR(ISBLANK(M59),ISBLANK(M64)),"",IF(M59&gt;M64,L59,L64))))</f>
        <v/>
      </c>
      <c r="O62" s="154"/>
      <c r="P62" s="210"/>
      <c r="Q62" s="210"/>
      <c r="R62" s="210"/>
      <c r="S62" s="210"/>
      <c r="T62" s="210"/>
      <c r="U62" s="211"/>
    </row>
    <row r="63" spans="3:21" ht="20.100000000000001" customHeight="1" thickBot="1" x14ac:dyDescent="0.3">
      <c r="C63" s="209"/>
      <c r="D63" s="210"/>
      <c r="E63" s="210"/>
      <c r="F63" s="210"/>
      <c r="G63" s="210"/>
      <c r="H63" s="210"/>
      <c r="I63" s="210"/>
      <c r="J63" s="211"/>
      <c r="K63" s="276"/>
      <c r="L63" s="136" t="str">
        <f>IF(ISBLANK(L64),"",IFERROR(_xlfn.XLOOKUP(L64,'List of Teams'!$B$2:$B$65,'List of Teams'!$C$2:$C$65),""))</f>
        <v/>
      </c>
      <c r="M63" s="137"/>
      <c r="N63" s="210"/>
      <c r="O63" s="210"/>
      <c r="P63" s="210"/>
      <c r="Q63" s="210"/>
      <c r="R63" s="210"/>
      <c r="S63" s="210"/>
      <c r="T63" s="210"/>
      <c r="U63" s="211"/>
    </row>
    <row r="64" spans="3:21" ht="20.100000000000001" customHeight="1" thickTop="1" x14ac:dyDescent="0.25">
      <c r="C64" s="209"/>
      <c r="D64" s="210"/>
      <c r="E64" s="210"/>
      <c r="F64" s="210"/>
      <c r="G64" s="210"/>
      <c r="H64" s="210"/>
      <c r="I64" s="210"/>
      <c r="J64" s="210"/>
      <c r="K64" s="273">
        <v>28</v>
      </c>
      <c r="L64" s="117"/>
      <c r="M64" s="138"/>
      <c r="N64" s="210"/>
      <c r="O64" s="210"/>
      <c r="P64" s="210"/>
      <c r="Q64" s="210"/>
      <c r="R64" s="210"/>
      <c r="S64" s="210"/>
      <c r="T64" s="210"/>
      <c r="U64" s="211"/>
    </row>
    <row r="65" spans="2:22" ht="20.100000000000001" customHeight="1" thickBot="1" x14ac:dyDescent="0.3">
      <c r="B65" s="203" t="str">
        <f>IF(D98="Bye",D33,IF(OR(ISBLANK(D33),ISBLANK(D98)),"",IF(OR(ISBLANK(C33),ISBLANK(C98)),"",IF(C33&gt;C98,D33,D98))))</f>
        <v/>
      </c>
      <c r="C65" s="209"/>
      <c r="D65" s="212" t="s">
        <v>115</v>
      </c>
      <c r="E65" s="210"/>
      <c r="F65" s="210"/>
      <c r="G65" s="210"/>
      <c r="H65" s="210"/>
      <c r="I65" s="210"/>
      <c r="J65" s="210"/>
      <c r="K65" s="210"/>
      <c r="L65" s="210"/>
      <c r="M65" s="210"/>
      <c r="N65" s="210"/>
      <c r="O65" s="210"/>
      <c r="P65" s="210"/>
      <c r="Q65" s="210"/>
      <c r="R65" s="210"/>
      <c r="S65" s="210"/>
      <c r="T65" s="212" t="s">
        <v>116</v>
      </c>
      <c r="U65" s="211"/>
      <c r="V65" s="204" t="str">
        <f>IF(T98="Bye",T33,IF(OR(ISBLANK(T33),ISBLANK(T98)),"",IF(OR(ISBLANK(U33),ISBLANK(U98)),"",IF(U33&gt;U98,T33,T98))))</f>
        <v/>
      </c>
    </row>
    <row r="66" spans="2:22" ht="20.100000000000001" customHeight="1" thickTop="1" x14ac:dyDescent="0.35">
      <c r="B66" s="160" t="str">
        <f>IF(B65="","",IF(C33&gt;C98,C33&amp;"-"&amp;C98,C98&amp;"-"&amp;C33))</f>
        <v/>
      </c>
      <c r="C66" s="209"/>
      <c r="D66" s="213" t="s">
        <v>32</v>
      </c>
      <c r="E66" s="210"/>
      <c r="F66" s="210"/>
      <c r="G66" s="210"/>
      <c r="H66" s="210"/>
      <c r="I66" s="210"/>
      <c r="J66" s="210"/>
      <c r="K66" s="210"/>
      <c r="L66" s="210"/>
      <c r="M66" s="210"/>
      <c r="N66" s="210"/>
      <c r="O66" s="210"/>
      <c r="P66" s="210"/>
      <c r="Q66" s="210"/>
      <c r="R66" s="210"/>
      <c r="S66" s="210"/>
      <c r="T66" s="213" t="s">
        <v>32</v>
      </c>
      <c r="U66" s="211"/>
      <c r="V66" s="162" t="str">
        <f>IF(V65="","",IF(U33&gt;U98,U33&amp;"-"&amp;U98,U98&amp;"-"&amp;U33))</f>
        <v/>
      </c>
    </row>
    <row r="67" spans="2:22" ht="20.100000000000001" customHeight="1" thickBot="1" x14ac:dyDescent="0.3">
      <c r="C67" s="209"/>
      <c r="D67" s="210"/>
      <c r="E67" s="210"/>
      <c r="F67" s="210"/>
      <c r="G67" s="210"/>
      <c r="H67" s="210"/>
      <c r="I67" s="210"/>
      <c r="J67" s="210"/>
      <c r="K67" s="273">
        <v>2</v>
      </c>
      <c r="L67" s="117"/>
      <c r="M67" s="118"/>
      <c r="N67" s="210"/>
      <c r="O67" s="210"/>
      <c r="P67" s="210"/>
      <c r="Q67" s="210"/>
      <c r="R67" s="210"/>
      <c r="S67" s="210"/>
      <c r="T67" s="210"/>
      <c r="U67" s="211"/>
    </row>
    <row r="68" spans="2:22" ht="20.100000000000001" customHeight="1" thickTop="1" x14ac:dyDescent="0.25">
      <c r="C68" s="209"/>
      <c r="D68" s="210"/>
      <c r="E68" s="210"/>
      <c r="F68" s="210"/>
      <c r="G68" s="210"/>
      <c r="H68" s="210"/>
      <c r="I68" s="210"/>
      <c r="J68" s="211"/>
      <c r="K68" s="274"/>
      <c r="L68" s="120" t="str">
        <f>IF(ISBLANK(L67),"",IFERROR(_xlfn.XLOOKUP(L67,'List of Teams'!$B$2:$B$65,'List of Teams'!$C$2:$C$65),""))</f>
        <v/>
      </c>
      <c r="M68" s="121"/>
      <c r="N68" s="210"/>
      <c r="O68" s="210"/>
      <c r="P68" s="210"/>
      <c r="Q68" s="210"/>
      <c r="R68" s="210"/>
      <c r="S68" s="210"/>
      <c r="T68" s="210"/>
      <c r="U68" s="211"/>
    </row>
    <row r="69" spans="2:22" ht="20.100000000000001" customHeight="1" thickBot="1" x14ac:dyDescent="0.3">
      <c r="C69" s="209"/>
      <c r="D69" s="210"/>
      <c r="E69" s="210"/>
      <c r="F69" s="210"/>
      <c r="G69" s="210"/>
      <c r="H69" s="210"/>
      <c r="I69" s="127"/>
      <c r="J69" s="123" t="str">
        <f>IF(L72="Bye",L72,IF(OR(ISBLANK(L67),ISBLANK(L72)),"",IF(OR(ISBLANK(M67),ISBLANK(M72)),"",IF(M67&lt;M72,L67,L72))))</f>
        <v/>
      </c>
      <c r="K69" s="275"/>
      <c r="L69" s="124" t="s">
        <v>95</v>
      </c>
      <c r="M69" s="125"/>
      <c r="N69" s="126" t="str">
        <f>IF(L72="Bye",L67,IF(OR(ISBLANK(L67),ISBLANK(L72)),"",IF(OR(ISBLANK(M67),ISBLANK(M72)),"",IF(M67&gt;M72,L67,L72))))</f>
        <v/>
      </c>
      <c r="O69" s="127"/>
      <c r="P69" s="210"/>
      <c r="Q69" s="210"/>
      <c r="R69" s="210"/>
      <c r="S69" s="210"/>
      <c r="T69" s="210"/>
      <c r="U69" s="211"/>
    </row>
    <row r="70" spans="2:22" ht="20.100000000000001" customHeight="1" thickTop="1" x14ac:dyDescent="0.35">
      <c r="C70" s="209"/>
      <c r="D70" s="210"/>
      <c r="E70" s="210"/>
      <c r="F70" s="210"/>
      <c r="G70" s="210"/>
      <c r="H70" s="210"/>
      <c r="I70" s="128"/>
      <c r="J70" s="129" t="str">
        <f>IF(J69="","",IF(M67&lt;M72,M67&amp;"-"&amp;M72,M72&amp;"-"&amp;M67))</f>
        <v/>
      </c>
      <c r="K70" s="273"/>
      <c r="L70" s="130" t="s">
        <v>32</v>
      </c>
      <c r="M70" s="125"/>
      <c r="N70" s="131" t="str">
        <f>IF(N69="","",IF(M67&gt;M72,M67&amp;"-"&amp;M72,M72&amp;"-"&amp;M67))</f>
        <v/>
      </c>
      <c r="O70" s="132"/>
      <c r="P70" s="209"/>
      <c r="Q70" s="210"/>
      <c r="R70" s="210"/>
      <c r="S70" s="210"/>
      <c r="T70" s="210"/>
      <c r="U70" s="211"/>
    </row>
    <row r="71" spans="2:22" ht="20.100000000000001" customHeight="1" thickBot="1" x14ac:dyDescent="0.3">
      <c r="C71" s="209"/>
      <c r="D71" s="210"/>
      <c r="E71" s="210"/>
      <c r="F71" s="210"/>
      <c r="G71" s="210"/>
      <c r="H71" s="210"/>
      <c r="I71" s="134"/>
      <c r="J71" s="135"/>
      <c r="K71" s="276"/>
      <c r="L71" s="136" t="str">
        <f>IF(ISBLANK(L72),"",IFERROR(_xlfn.XLOOKUP(L72,'List of Teams'!$B$2:$B$65,'List of Teams'!$C$2:$C$65),""))</f>
        <v/>
      </c>
      <c r="M71" s="137"/>
      <c r="N71" s="132"/>
      <c r="O71" s="132"/>
      <c r="P71" s="209"/>
      <c r="Q71" s="210"/>
      <c r="R71" s="210"/>
      <c r="S71" s="210"/>
      <c r="T71" s="210"/>
      <c r="U71" s="211"/>
    </row>
    <row r="72" spans="2:22" ht="20.100000000000001" customHeight="1" thickTop="1" x14ac:dyDescent="0.25">
      <c r="C72" s="209"/>
      <c r="D72" s="210"/>
      <c r="E72" s="210"/>
      <c r="F72" s="210"/>
      <c r="G72" s="210"/>
      <c r="H72" s="210"/>
      <c r="I72" s="134"/>
      <c r="J72" s="132"/>
      <c r="K72" s="273">
        <v>31</v>
      </c>
      <c r="L72" s="117"/>
      <c r="M72" s="138"/>
      <c r="N72" s="132"/>
      <c r="O72" s="132"/>
      <c r="P72" s="209"/>
      <c r="Q72" s="210"/>
      <c r="R72" s="210"/>
      <c r="S72" s="210"/>
      <c r="T72" s="210"/>
      <c r="U72" s="211"/>
    </row>
    <row r="73" spans="2:22" ht="20.100000000000001" customHeight="1" thickBot="1" x14ac:dyDescent="0.3">
      <c r="C73" s="209"/>
      <c r="D73" s="210"/>
      <c r="E73" s="210"/>
      <c r="F73" s="210"/>
      <c r="G73" s="144"/>
      <c r="H73" s="140" t="str">
        <f>IF(J78="Bye",J69,IF(OR(ISBLANK(J69),ISBLANK(J78)),"",IF(OR(ISBLANK(I69),ISBLANK(I78)),"",IF(I69&gt;I78,J69,J78))))</f>
        <v/>
      </c>
      <c r="I73" s="134"/>
      <c r="J73" s="141" t="s">
        <v>111</v>
      </c>
      <c r="K73" s="142"/>
      <c r="L73" s="132"/>
      <c r="M73" s="132"/>
      <c r="N73" s="141" t="s">
        <v>91</v>
      </c>
      <c r="O73" s="132"/>
      <c r="P73" s="143" t="str">
        <f>IF(N78="Bye",N69,IF(OR(ISBLANK(N69),ISBLANK(N78)),"",IF(OR(ISBLANK(O69),ISBLANK(O78)),"",IF(O69&gt;O78,N69,N78))))</f>
        <v/>
      </c>
      <c r="Q73" s="144"/>
      <c r="R73" s="210"/>
      <c r="S73" s="210"/>
      <c r="T73" s="210"/>
      <c r="U73" s="211"/>
    </row>
    <row r="74" spans="2:22" ht="20.100000000000001" customHeight="1" thickTop="1" x14ac:dyDescent="0.35">
      <c r="C74" s="209"/>
      <c r="D74" s="210"/>
      <c r="E74" s="210"/>
      <c r="F74" s="210"/>
      <c r="G74" s="145"/>
      <c r="H74" s="146" t="str">
        <f>IF(H73="","",IF(I69&gt;I78,I69&amp;"-"&amp;I78,I78&amp;"-"&amp;I69))</f>
        <v/>
      </c>
      <c r="I74" s="134"/>
      <c r="J74" s="147" t="s">
        <v>32</v>
      </c>
      <c r="K74" s="142"/>
      <c r="L74" s="132"/>
      <c r="M74" s="132"/>
      <c r="N74" s="147" t="s">
        <v>32</v>
      </c>
      <c r="O74" s="132"/>
      <c r="P74" s="148" t="str">
        <f>IF(P73="","",IF(O69&gt;O78,O69&amp;"-"&amp;O78,O78&amp;"-"&amp;O69))</f>
        <v/>
      </c>
      <c r="Q74" s="149"/>
      <c r="R74" s="209"/>
      <c r="S74" s="210"/>
      <c r="T74" s="210"/>
      <c r="U74" s="211"/>
    </row>
    <row r="75" spans="2:22" ht="20.100000000000001" customHeight="1" thickBot="1" x14ac:dyDescent="0.3">
      <c r="C75" s="209"/>
      <c r="D75" s="210"/>
      <c r="E75" s="210"/>
      <c r="F75" s="210"/>
      <c r="G75" s="150"/>
      <c r="H75" s="149"/>
      <c r="I75" s="134"/>
      <c r="J75" s="132"/>
      <c r="K75" s="273">
        <v>15</v>
      </c>
      <c r="L75" s="117"/>
      <c r="M75" s="118"/>
      <c r="N75" s="132"/>
      <c r="O75" s="132"/>
      <c r="P75" s="150"/>
      <c r="Q75" s="149"/>
      <c r="R75" s="209"/>
      <c r="S75" s="210"/>
      <c r="T75" s="210"/>
      <c r="U75" s="211"/>
    </row>
    <row r="76" spans="2:22" ht="20.100000000000001" customHeight="1" thickTop="1" x14ac:dyDescent="0.25">
      <c r="C76" s="209"/>
      <c r="D76" s="210"/>
      <c r="E76" s="210"/>
      <c r="F76" s="210"/>
      <c r="G76" s="150"/>
      <c r="H76" s="149"/>
      <c r="I76" s="134"/>
      <c r="J76" s="135"/>
      <c r="K76" s="274"/>
      <c r="L76" s="120" t="str">
        <f>IF(ISBLANK(L75),"",IFERROR(_xlfn.XLOOKUP(L75,'List of Teams'!$B$2:$B$65,'List of Teams'!$C$2:$C$65),""))</f>
        <v/>
      </c>
      <c r="M76" s="121"/>
      <c r="N76" s="132"/>
      <c r="O76" s="132"/>
      <c r="P76" s="150"/>
      <c r="Q76" s="149"/>
      <c r="R76" s="209"/>
      <c r="S76" s="210"/>
      <c r="T76" s="210"/>
      <c r="U76" s="211"/>
    </row>
    <row r="77" spans="2:22" ht="20.100000000000001" customHeight="1" thickBot="1" x14ac:dyDescent="0.3">
      <c r="C77" s="209"/>
      <c r="D77" s="210"/>
      <c r="E77" s="210"/>
      <c r="F77" s="210"/>
      <c r="G77" s="150"/>
      <c r="H77" s="149"/>
      <c r="I77" s="151"/>
      <c r="J77" s="152" t="str">
        <f>IF(J78="","",IF(M75&lt;M80,M75&amp;"-"&amp;M80,M80&amp;"-"&amp;M75))</f>
        <v/>
      </c>
      <c r="K77" s="273"/>
      <c r="L77" s="124" t="s">
        <v>96</v>
      </c>
      <c r="M77" s="125"/>
      <c r="N77" s="131" t="str">
        <f>IF(N78="","",IF(M75&gt;M80,M75&amp;"-"&amp;M80,M80&amp;"-"&amp;M75))</f>
        <v/>
      </c>
      <c r="O77" s="153"/>
      <c r="P77" s="150"/>
      <c r="Q77" s="149"/>
      <c r="R77" s="209"/>
      <c r="S77" s="210"/>
      <c r="T77" s="210"/>
      <c r="U77" s="211"/>
    </row>
    <row r="78" spans="2:22" ht="20.100000000000001" customHeight="1" thickTop="1" x14ac:dyDescent="0.25">
      <c r="C78" s="209"/>
      <c r="D78" s="210"/>
      <c r="E78" s="210"/>
      <c r="F78" s="210"/>
      <c r="G78" s="150"/>
      <c r="H78" s="149"/>
      <c r="I78" s="154"/>
      <c r="J78" s="155" t="str">
        <f>IF(L80="Bye",L80,IF(OR(ISBLANK(L75),ISBLANK(L80)),"",IF(OR(ISBLANK(M75),ISBLANK(M80)),"",IF(M75&lt;M80,L75,L80))))</f>
        <v/>
      </c>
      <c r="K78" s="275"/>
      <c r="L78" s="124" t="s">
        <v>32</v>
      </c>
      <c r="M78" s="125"/>
      <c r="N78" s="156" t="str">
        <f>IF(L80="Bye",L75,IF(OR(ISBLANK(L75),ISBLANK(L80)),"",IF(OR(ISBLANK(M75),ISBLANK(M80)),"",IF(M75&gt;M80,L75,L80))))</f>
        <v/>
      </c>
      <c r="O78" s="154"/>
      <c r="P78" s="149"/>
      <c r="Q78" s="149"/>
      <c r="R78" s="209"/>
      <c r="S78" s="210"/>
      <c r="T78" s="210"/>
      <c r="U78" s="211"/>
    </row>
    <row r="79" spans="2:22" ht="20.100000000000001" customHeight="1" thickBot="1" x14ac:dyDescent="0.3">
      <c r="C79" s="209"/>
      <c r="D79" s="210"/>
      <c r="E79" s="210"/>
      <c r="F79" s="210"/>
      <c r="G79" s="150"/>
      <c r="H79" s="149"/>
      <c r="I79" s="149"/>
      <c r="J79" s="157"/>
      <c r="K79" s="276"/>
      <c r="L79" s="136" t="str">
        <f>IF(ISBLANK(L80),"",IFERROR(_xlfn.XLOOKUP(L80,'List of Teams'!$B$2:$B$65,'List of Teams'!$C$2:$C$65),""))</f>
        <v/>
      </c>
      <c r="M79" s="137"/>
      <c r="N79" s="149"/>
      <c r="O79" s="149"/>
      <c r="P79" s="149"/>
      <c r="Q79" s="149"/>
      <c r="R79" s="209"/>
      <c r="S79" s="210"/>
      <c r="T79" s="210"/>
      <c r="U79" s="211"/>
    </row>
    <row r="80" spans="2:22" ht="20.100000000000001" customHeight="1" thickTop="1" x14ac:dyDescent="0.25">
      <c r="C80" s="209"/>
      <c r="D80" s="210"/>
      <c r="E80" s="210"/>
      <c r="F80" s="210"/>
      <c r="G80" s="150"/>
      <c r="H80" s="159" t="s">
        <v>51</v>
      </c>
      <c r="I80" s="149"/>
      <c r="J80" s="149"/>
      <c r="K80" s="273">
        <v>18</v>
      </c>
      <c r="L80" s="117"/>
      <c r="M80" s="138"/>
      <c r="N80" s="149"/>
      <c r="O80" s="149"/>
      <c r="P80" s="159" t="s">
        <v>85</v>
      </c>
      <c r="Q80" s="149"/>
      <c r="R80" s="209"/>
      <c r="S80" s="210"/>
      <c r="T80" s="210"/>
      <c r="U80" s="211"/>
    </row>
    <row r="81" spans="3:21" ht="20.100000000000001" customHeight="1" thickBot="1" x14ac:dyDescent="0.4">
      <c r="C81" s="209"/>
      <c r="D81" s="210"/>
      <c r="E81" s="178"/>
      <c r="F81" s="179" t="str">
        <f>IF(H90="Bye",H73,IF(OR(ISBLANK(H73),ISBLANK(H90)),"",IF(OR(ISBLANK(G73),ISBLANK(G90)),"",IF(G73&gt;G90,H73,H90))))</f>
        <v/>
      </c>
      <c r="G81" s="150"/>
      <c r="H81" s="161" t="s">
        <v>32</v>
      </c>
      <c r="I81" s="149"/>
      <c r="J81" s="149"/>
      <c r="K81" s="149"/>
      <c r="L81" s="149"/>
      <c r="M81" s="149"/>
      <c r="N81" s="149"/>
      <c r="O81" s="149"/>
      <c r="P81" s="161" t="s">
        <v>32</v>
      </c>
      <c r="Q81" s="149"/>
      <c r="R81" s="180" t="str">
        <f>IF(P90="Bye",P73,IF(OR(ISBLANK(P73),ISBLANK(P90)),"",IF(OR(ISBLANK(Q73),ISBLANK(Q90)),"",IF(Q73&gt;Q90,P73,P90))))</f>
        <v/>
      </c>
      <c r="S81" s="178"/>
      <c r="T81" s="210"/>
      <c r="U81" s="211"/>
    </row>
    <row r="82" spans="3:21" ht="20.100000000000001" customHeight="1" thickTop="1" x14ac:dyDescent="0.25">
      <c r="C82" s="209"/>
      <c r="D82" s="210"/>
      <c r="E82" s="181"/>
      <c r="F82" s="182" t="str">
        <f>IF(F81="","",IF(G73&gt;G90,G73&amp;"-"&amp;G90,G90&amp;"-"&amp;G73))</f>
        <v/>
      </c>
      <c r="G82" s="150"/>
      <c r="H82" s="149"/>
      <c r="I82" s="149"/>
      <c r="J82" s="149"/>
      <c r="K82" s="149"/>
      <c r="L82" s="149"/>
      <c r="M82" s="149"/>
      <c r="N82" s="149"/>
      <c r="O82" s="149"/>
      <c r="P82" s="149"/>
      <c r="Q82" s="149"/>
      <c r="R82" s="183" t="str">
        <f>IF(R81="","",IF(Q73&gt;Q90,Q73&amp;"-"&amp;Q90,Q90&amp;"-"&amp;Q73))</f>
        <v/>
      </c>
      <c r="S82" s="184"/>
      <c r="T82" s="209"/>
      <c r="U82" s="211"/>
    </row>
    <row r="83" spans="3:21" ht="20.100000000000001" customHeight="1" thickBot="1" x14ac:dyDescent="0.3">
      <c r="C83" s="209"/>
      <c r="D83" s="210"/>
      <c r="E83" s="185"/>
      <c r="F83" s="184"/>
      <c r="G83" s="150"/>
      <c r="H83" s="149"/>
      <c r="I83" s="149"/>
      <c r="J83" s="149"/>
      <c r="K83" s="273">
        <v>10</v>
      </c>
      <c r="L83" s="117"/>
      <c r="M83" s="118"/>
      <c r="N83" s="149"/>
      <c r="O83" s="149"/>
      <c r="P83" s="149"/>
      <c r="Q83" s="149"/>
      <c r="R83" s="185"/>
      <c r="S83" s="184"/>
      <c r="T83" s="209"/>
      <c r="U83" s="211"/>
    </row>
    <row r="84" spans="3:21" ht="20.100000000000001" customHeight="1" thickTop="1" x14ac:dyDescent="0.25">
      <c r="C84" s="209"/>
      <c r="D84" s="210"/>
      <c r="E84" s="185"/>
      <c r="F84" s="184"/>
      <c r="G84" s="150"/>
      <c r="H84" s="149"/>
      <c r="I84" s="149"/>
      <c r="J84" s="157"/>
      <c r="K84" s="274"/>
      <c r="L84" s="120" t="str">
        <f>IF(ISBLANK(L83),"",IFERROR(_xlfn.XLOOKUP(L83,'List of Teams'!$B$2:$B$65,'List of Teams'!$C$2:$C$65),""))</f>
        <v/>
      </c>
      <c r="M84" s="121"/>
      <c r="N84" s="149"/>
      <c r="O84" s="149"/>
      <c r="P84" s="149"/>
      <c r="Q84" s="149"/>
      <c r="R84" s="185"/>
      <c r="S84" s="184"/>
      <c r="T84" s="209"/>
      <c r="U84" s="211"/>
    </row>
    <row r="85" spans="3:21" ht="20.100000000000001" customHeight="1" thickBot="1" x14ac:dyDescent="0.3">
      <c r="C85" s="209"/>
      <c r="D85" s="210"/>
      <c r="E85" s="185"/>
      <c r="F85" s="184"/>
      <c r="G85" s="150"/>
      <c r="H85" s="149"/>
      <c r="I85" s="127"/>
      <c r="J85" s="123" t="str">
        <f>IF(L88="Bye",L88,IF(OR(ISBLANK(L83),ISBLANK(L88)),"",IF(OR(ISBLANK(M83),ISBLANK(M88)),"",IF(M83&lt;M88,L83,L88))))</f>
        <v/>
      </c>
      <c r="K85" s="275"/>
      <c r="L85" s="124" t="s">
        <v>97</v>
      </c>
      <c r="M85" s="125"/>
      <c r="N85" s="126" t="str">
        <f>IF(L88="Bye",L83,IF(OR(ISBLANK(L83),ISBLANK(L88)),"",IF(OR(ISBLANK(M83),ISBLANK(M88)),"",IF(M83&gt;M88,L83,L88))))</f>
        <v/>
      </c>
      <c r="O85" s="127"/>
      <c r="P85" s="149"/>
      <c r="Q85" s="149"/>
      <c r="R85" s="185"/>
      <c r="S85" s="184"/>
      <c r="T85" s="209"/>
      <c r="U85" s="211"/>
    </row>
    <row r="86" spans="3:21" ht="20.100000000000001" customHeight="1" thickTop="1" x14ac:dyDescent="0.35">
      <c r="C86" s="209"/>
      <c r="D86" s="210"/>
      <c r="E86" s="185"/>
      <c r="F86" s="184"/>
      <c r="G86" s="150"/>
      <c r="H86" s="149"/>
      <c r="I86" s="128"/>
      <c r="J86" s="129" t="str">
        <f>IF(J85="","",IF(M83&lt;M88,M83&amp;"-"&amp;M88,M88&amp;"-"&amp;M83))</f>
        <v/>
      </c>
      <c r="K86" s="273"/>
      <c r="L86" s="130" t="s">
        <v>32</v>
      </c>
      <c r="M86" s="125"/>
      <c r="N86" s="131" t="str">
        <f>IF(N85="","",IF(M83&gt;M88,M83&amp;"-"&amp;M88,M88&amp;"-"&amp;M83))</f>
        <v/>
      </c>
      <c r="O86" s="132"/>
      <c r="P86" s="150"/>
      <c r="Q86" s="149"/>
      <c r="R86" s="185"/>
      <c r="S86" s="184"/>
      <c r="T86" s="209"/>
      <c r="U86" s="211"/>
    </row>
    <row r="87" spans="3:21" ht="20.100000000000001" customHeight="1" thickBot="1" x14ac:dyDescent="0.3">
      <c r="C87" s="209"/>
      <c r="D87" s="210"/>
      <c r="E87" s="185"/>
      <c r="F87" s="184"/>
      <c r="G87" s="150"/>
      <c r="H87" s="149"/>
      <c r="I87" s="134"/>
      <c r="J87" s="135"/>
      <c r="K87" s="276"/>
      <c r="L87" s="136" t="str">
        <f>IF(ISBLANK(L88),"",IFERROR(_xlfn.XLOOKUP(L88,'List of Teams'!$B$2:$B$65,'List of Teams'!$C$2:$C$65),""))</f>
        <v/>
      </c>
      <c r="M87" s="137"/>
      <c r="N87" s="132"/>
      <c r="O87" s="132"/>
      <c r="P87" s="150"/>
      <c r="Q87" s="149"/>
      <c r="R87" s="185"/>
      <c r="S87" s="184"/>
      <c r="T87" s="209"/>
      <c r="U87" s="211"/>
    </row>
    <row r="88" spans="3:21" ht="20.100000000000001" customHeight="1" thickTop="1" x14ac:dyDescent="0.25">
      <c r="C88" s="209"/>
      <c r="D88" s="210"/>
      <c r="E88" s="185"/>
      <c r="F88" s="184"/>
      <c r="G88" s="150"/>
      <c r="H88" s="149"/>
      <c r="I88" s="134"/>
      <c r="J88" s="132"/>
      <c r="K88" s="273">
        <v>23</v>
      </c>
      <c r="L88" s="117"/>
      <c r="M88" s="138"/>
      <c r="N88" s="132"/>
      <c r="O88" s="132"/>
      <c r="P88" s="150"/>
      <c r="Q88" s="149"/>
      <c r="R88" s="185"/>
      <c r="S88" s="184"/>
      <c r="T88" s="209"/>
      <c r="U88" s="211"/>
    </row>
    <row r="89" spans="3:21" ht="20.100000000000001" customHeight="1" thickBot="1" x14ac:dyDescent="0.3">
      <c r="C89" s="209"/>
      <c r="D89" s="210"/>
      <c r="E89" s="185"/>
      <c r="F89" s="184"/>
      <c r="G89" s="163"/>
      <c r="H89" s="164" t="str">
        <f>IF(H90="","",IF(I85&gt;I94,I85&amp;"-"&amp;I94,I94&amp;"-"&amp;I85))</f>
        <v/>
      </c>
      <c r="I89" s="134"/>
      <c r="J89" s="141" t="s">
        <v>112</v>
      </c>
      <c r="K89" s="142"/>
      <c r="L89" s="132"/>
      <c r="M89" s="132"/>
      <c r="N89" s="141" t="s">
        <v>92</v>
      </c>
      <c r="O89" s="132"/>
      <c r="P89" s="165" t="str">
        <f>IF(P90="","",IF(O85&gt;O94,O85&amp;"-"&amp;O94,O94&amp;"-"&amp;O85))</f>
        <v/>
      </c>
      <c r="Q89" s="166"/>
      <c r="R89" s="185"/>
      <c r="S89" s="184"/>
      <c r="T89" s="209"/>
      <c r="U89" s="211"/>
    </row>
    <row r="90" spans="3:21" ht="20.100000000000001" customHeight="1" thickTop="1" x14ac:dyDescent="0.35">
      <c r="C90" s="209"/>
      <c r="D90" s="210"/>
      <c r="E90" s="185"/>
      <c r="F90" s="184"/>
      <c r="G90" s="167"/>
      <c r="H90" s="168" t="str">
        <f>IF(J94="Bye",J85,IF(OR(ISBLANK(J85),ISBLANK(J94)),"",IF(OR(ISBLANK(I85),ISBLANK(I94)),"",IF(I85&gt;I94,J85,J94))))</f>
        <v/>
      </c>
      <c r="I90" s="134"/>
      <c r="J90" s="147" t="s">
        <v>32</v>
      </c>
      <c r="K90" s="142"/>
      <c r="L90" s="132"/>
      <c r="M90" s="132"/>
      <c r="N90" s="147" t="s">
        <v>32</v>
      </c>
      <c r="O90" s="132"/>
      <c r="P90" s="169" t="str">
        <f>IF(N94="Bye",N85,IF(OR(ISBLANK(N85),ISBLANK(N94)),"",IF(OR(ISBLANK(O85),ISBLANK(O94)),"",IF(O85&gt;O94,N85,N94))))</f>
        <v/>
      </c>
      <c r="Q90" s="167"/>
      <c r="R90" s="184"/>
      <c r="S90" s="184"/>
      <c r="T90" s="209"/>
      <c r="U90" s="211"/>
    </row>
    <row r="91" spans="3:21" ht="20.100000000000001" customHeight="1" thickBot="1" x14ac:dyDescent="0.3">
      <c r="C91" s="209"/>
      <c r="D91" s="210"/>
      <c r="E91" s="185"/>
      <c r="F91" s="184"/>
      <c r="G91" s="184"/>
      <c r="H91" s="184"/>
      <c r="I91" s="134"/>
      <c r="J91" s="132"/>
      <c r="K91" s="273">
        <v>7</v>
      </c>
      <c r="L91" s="117"/>
      <c r="M91" s="118"/>
      <c r="N91" s="132"/>
      <c r="O91" s="132"/>
      <c r="P91" s="185"/>
      <c r="Q91" s="184"/>
      <c r="R91" s="184"/>
      <c r="S91" s="184"/>
      <c r="T91" s="209"/>
      <c r="U91" s="211"/>
    </row>
    <row r="92" spans="3:21" ht="20.100000000000001" customHeight="1" thickTop="1" x14ac:dyDescent="0.25">
      <c r="C92" s="209"/>
      <c r="D92" s="210"/>
      <c r="E92" s="185"/>
      <c r="F92" s="184"/>
      <c r="G92" s="184"/>
      <c r="H92" s="184"/>
      <c r="I92" s="134"/>
      <c r="J92" s="135"/>
      <c r="K92" s="274"/>
      <c r="L92" s="120" t="str">
        <f>IF(ISBLANK(L91),"",IFERROR(_xlfn.XLOOKUP(L91,'List of Teams'!$B$2:$B$65,'List of Teams'!$C$2:$C$65),""))</f>
        <v/>
      </c>
      <c r="M92" s="121"/>
      <c r="N92" s="132"/>
      <c r="O92" s="132"/>
      <c r="P92" s="185"/>
      <c r="Q92" s="184"/>
      <c r="R92" s="184"/>
      <c r="S92" s="184"/>
      <c r="T92" s="209"/>
      <c r="U92" s="211"/>
    </row>
    <row r="93" spans="3:21" ht="20.100000000000001" customHeight="1" thickBot="1" x14ac:dyDescent="0.3">
      <c r="C93" s="209"/>
      <c r="D93" s="210"/>
      <c r="E93" s="185"/>
      <c r="F93" s="184"/>
      <c r="G93" s="184"/>
      <c r="H93" s="184"/>
      <c r="I93" s="151"/>
      <c r="J93" s="152" t="str">
        <f>IF(J94="","",IF(M91&lt;M96,M91&amp;"-"&amp;M96,M96&amp;"-"&amp;M91))</f>
        <v/>
      </c>
      <c r="K93" s="273"/>
      <c r="L93" s="124" t="s">
        <v>98</v>
      </c>
      <c r="M93" s="125"/>
      <c r="N93" s="131" t="str">
        <f>IF(N94="","",IF(M91&gt;M96,M91&amp;"-"&amp;M96,M96&amp;"-"&amp;M91))</f>
        <v/>
      </c>
      <c r="O93" s="153"/>
      <c r="P93" s="185"/>
      <c r="Q93" s="184"/>
      <c r="R93" s="184"/>
      <c r="S93" s="184"/>
      <c r="T93" s="209"/>
      <c r="U93" s="211"/>
    </row>
    <row r="94" spans="3:21" ht="20.100000000000001" customHeight="1" thickTop="1" x14ac:dyDescent="0.35">
      <c r="C94" s="209"/>
      <c r="D94" s="210"/>
      <c r="E94" s="185"/>
      <c r="F94" s="184"/>
      <c r="G94" s="184"/>
      <c r="H94" s="184"/>
      <c r="I94" s="154"/>
      <c r="J94" s="155" t="str">
        <f>IF(L96="Bye",L96,IF(OR(ISBLANK(L91),ISBLANK(L96)),"",IF(OR(ISBLANK(M91),ISBLANK(M96)),"",IF(M91&lt;M96,L91,L96))))</f>
        <v/>
      </c>
      <c r="K94" s="275"/>
      <c r="L94" s="130" t="s">
        <v>32</v>
      </c>
      <c r="M94" s="125"/>
      <c r="N94" s="156" t="str">
        <f>IF(L96="Bye",L91,IF(OR(ISBLANK(L91),ISBLANK(L96)),"",IF(OR(ISBLANK(M91),ISBLANK(M96)),"",IF(M91&gt;M96,L91,L96))))</f>
        <v/>
      </c>
      <c r="O94" s="154"/>
      <c r="P94" s="184"/>
      <c r="Q94" s="184"/>
      <c r="R94" s="184"/>
      <c r="S94" s="184"/>
      <c r="T94" s="209"/>
      <c r="U94" s="211"/>
    </row>
    <row r="95" spans="3:21" ht="20.100000000000001" customHeight="1" thickBot="1" x14ac:dyDescent="0.3">
      <c r="C95" s="209"/>
      <c r="D95" s="210"/>
      <c r="E95" s="185"/>
      <c r="F95" s="184"/>
      <c r="G95" s="184"/>
      <c r="H95" s="184"/>
      <c r="I95" s="184"/>
      <c r="J95" s="186"/>
      <c r="K95" s="276"/>
      <c r="L95" s="136" t="str">
        <f>IF(ISBLANK(L96),"",IFERROR(_xlfn.XLOOKUP(L96,'List of Teams'!$B$2:$B$65,'List of Teams'!$C$2:$C$65),""))</f>
        <v/>
      </c>
      <c r="M95" s="137"/>
      <c r="N95" s="184"/>
      <c r="O95" s="184"/>
      <c r="P95" s="184"/>
      <c r="Q95" s="184"/>
      <c r="R95" s="184"/>
      <c r="S95" s="184"/>
      <c r="T95" s="209"/>
      <c r="U95" s="211"/>
    </row>
    <row r="96" spans="3:21" ht="20.100000000000001" customHeight="1" thickTop="1" x14ac:dyDescent="0.25">
      <c r="C96" s="209"/>
      <c r="D96" s="210"/>
      <c r="E96" s="185"/>
      <c r="F96" s="184"/>
      <c r="G96" s="184"/>
      <c r="H96" s="184"/>
      <c r="I96" s="184"/>
      <c r="J96" s="184"/>
      <c r="K96" s="273">
        <v>26</v>
      </c>
      <c r="L96" s="117"/>
      <c r="M96" s="138"/>
      <c r="N96" s="184"/>
      <c r="O96" s="184"/>
      <c r="P96" s="184"/>
      <c r="Q96" s="184"/>
      <c r="R96" s="184"/>
      <c r="S96" s="184"/>
      <c r="T96" s="209"/>
      <c r="U96" s="211"/>
    </row>
    <row r="97" spans="3:21" ht="20.100000000000001" customHeight="1" thickBot="1" x14ac:dyDescent="0.3">
      <c r="C97" s="214"/>
      <c r="D97" s="215" t="str">
        <f>IF(D96="","",IF(E80&gt;E113,E80&amp;"-"&amp;E113,E113&amp;"-"&amp;E80))</f>
        <v/>
      </c>
      <c r="E97" s="185"/>
      <c r="F97" s="187" t="s">
        <v>54</v>
      </c>
      <c r="G97" s="184"/>
      <c r="H97" s="184"/>
      <c r="I97" s="184"/>
      <c r="J97" s="184"/>
      <c r="K97" s="184"/>
      <c r="L97" s="184"/>
      <c r="M97" s="184"/>
      <c r="N97" s="184"/>
      <c r="O97" s="184"/>
      <c r="P97" s="184"/>
      <c r="Q97" s="184"/>
      <c r="R97" s="187" t="s">
        <v>35</v>
      </c>
      <c r="S97" s="184"/>
      <c r="T97" s="216" t="str">
        <f>IF(T96="","",IF(S81&gt;S114,S81&amp;"-"&amp;S114,S114&amp;"-"&amp;S81))</f>
        <v/>
      </c>
      <c r="U97" s="217"/>
    </row>
    <row r="98" spans="3:21" ht="20.100000000000001" customHeight="1" thickTop="1" x14ac:dyDescent="0.35">
      <c r="C98" s="218"/>
      <c r="D98" s="219" t="str">
        <f>IF(F114="Bye",F81,IF(OR(ISBLANK(F81),ISBLANK(F114)),"",IF(OR(ISBLANK(E81),ISBLANK(E114)),"",IF(E81&gt;E114,F81,F114))))</f>
        <v/>
      </c>
      <c r="E98" s="185"/>
      <c r="F98" s="188" t="s">
        <v>32</v>
      </c>
      <c r="G98" s="184"/>
      <c r="H98" s="184"/>
      <c r="I98" s="184"/>
      <c r="J98" s="184"/>
      <c r="K98" s="184"/>
      <c r="L98" s="184"/>
      <c r="M98" s="184"/>
      <c r="N98" s="184"/>
      <c r="O98" s="184"/>
      <c r="P98" s="184"/>
      <c r="Q98" s="184"/>
      <c r="R98" s="188" t="s">
        <v>32</v>
      </c>
      <c r="S98" s="184"/>
      <c r="T98" s="220" t="str">
        <f>IF(R114="Bye",R81,IF(OR(ISBLANK(R81),ISBLANK(R114)),"",IF(OR(ISBLANK(S81),ISBLANK(S114)),"",IF(S81&gt;S114,R81,R114))))</f>
        <v/>
      </c>
      <c r="U98" s="218"/>
    </row>
    <row r="99" spans="3:21" ht="20.100000000000001" customHeight="1" thickBot="1" x14ac:dyDescent="0.3">
      <c r="E99" s="185"/>
      <c r="F99" s="184"/>
      <c r="G99" s="184"/>
      <c r="H99" s="184"/>
      <c r="I99" s="184"/>
      <c r="J99" s="184"/>
      <c r="K99" s="273">
        <v>3</v>
      </c>
      <c r="L99" s="117"/>
      <c r="M99" s="118"/>
      <c r="N99" s="184"/>
      <c r="O99" s="184"/>
      <c r="P99" s="184"/>
      <c r="Q99" s="184"/>
      <c r="R99" s="184"/>
      <c r="S99" s="184"/>
      <c r="T99" s="133"/>
    </row>
    <row r="100" spans="3:21" ht="20.100000000000001" customHeight="1" thickTop="1" x14ac:dyDescent="0.25">
      <c r="E100" s="185"/>
      <c r="F100" s="184"/>
      <c r="G100" s="184"/>
      <c r="H100" s="184"/>
      <c r="I100" s="184"/>
      <c r="J100" s="186"/>
      <c r="K100" s="274"/>
      <c r="L100" s="120" t="str">
        <f>IF(ISBLANK(L99),"",IFERROR(_xlfn.XLOOKUP(L99,'List of Teams'!$B$2:$B$65,'List of Teams'!$C$2:$C$65),""))</f>
        <v/>
      </c>
      <c r="M100" s="121"/>
      <c r="N100" s="184"/>
      <c r="O100" s="184"/>
      <c r="P100" s="184"/>
      <c r="Q100" s="184"/>
      <c r="R100" s="184"/>
      <c r="S100" s="184"/>
      <c r="T100" s="133"/>
    </row>
    <row r="101" spans="3:21" ht="20.100000000000001" customHeight="1" thickBot="1" x14ac:dyDescent="0.3">
      <c r="E101" s="185"/>
      <c r="F101" s="184"/>
      <c r="G101" s="184"/>
      <c r="H101" s="184"/>
      <c r="I101" s="127"/>
      <c r="J101" s="123" t="str">
        <f>IF(L104="Bye",L104,IF(OR(ISBLANK(L99),ISBLANK(L104)),"",IF(OR(ISBLANK(M99),ISBLANK(M104)),"",IF(M99&lt;M104,L99,L104))))</f>
        <v/>
      </c>
      <c r="K101" s="275"/>
      <c r="L101" s="124" t="s">
        <v>99</v>
      </c>
      <c r="M101" s="125"/>
      <c r="N101" s="126" t="str">
        <f>IF(L104="Bye",L99,IF(OR(ISBLANK(L99),ISBLANK(L104)),"",IF(OR(ISBLANK(M99),ISBLANK(M104)),"",IF(M99&gt;M104,L99,L104))))</f>
        <v/>
      </c>
      <c r="O101" s="127"/>
      <c r="P101" s="184"/>
      <c r="Q101" s="184"/>
      <c r="R101" s="184"/>
      <c r="S101" s="184"/>
      <c r="T101" s="133"/>
    </row>
    <row r="102" spans="3:21" ht="20.100000000000001" customHeight="1" thickTop="1" x14ac:dyDescent="0.35">
      <c r="E102" s="185"/>
      <c r="F102" s="184"/>
      <c r="G102" s="184"/>
      <c r="H102" s="184"/>
      <c r="I102" s="128"/>
      <c r="J102" s="129" t="str">
        <f>IF(J101="","",IF(M99&lt;M104,M99&amp;"-"&amp;M104,M104&amp;"-"&amp;M99))</f>
        <v/>
      </c>
      <c r="K102" s="277"/>
      <c r="L102" s="130" t="s">
        <v>32</v>
      </c>
      <c r="M102" s="125"/>
      <c r="N102" s="131" t="str">
        <f>IF(N101="","",IF(M99&gt;M104,M99&amp;"-"&amp;M104,M104&amp;"-"&amp;M99))</f>
        <v/>
      </c>
      <c r="O102" s="132"/>
      <c r="P102" s="185"/>
      <c r="Q102" s="184"/>
      <c r="R102" s="184"/>
      <c r="S102" s="184"/>
      <c r="T102" s="133"/>
    </row>
    <row r="103" spans="3:21" ht="20.100000000000001" customHeight="1" thickBot="1" x14ac:dyDescent="0.3">
      <c r="E103" s="185"/>
      <c r="F103" s="184"/>
      <c r="G103" s="184"/>
      <c r="H103" s="184"/>
      <c r="I103" s="134"/>
      <c r="J103" s="135"/>
      <c r="K103" s="276"/>
      <c r="L103" s="136" t="str">
        <f>IF(ISBLANK(L104),"",IFERROR(_xlfn.XLOOKUP(L104,'List of Teams'!$B$2:$B$65,'List of Teams'!$C$2:$C$65),""))</f>
        <v/>
      </c>
      <c r="M103" s="137"/>
      <c r="N103" s="132"/>
      <c r="O103" s="132"/>
      <c r="P103" s="185"/>
      <c r="Q103" s="184"/>
      <c r="R103" s="184"/>
      <c r="S103" s="184"/>
      <c r="T103" s="133"/>
    </row>
    <row r="104" spans="3:21" ht="20.100000000000001" customHeight="1" thickTop="1" x14ac:dyDescent="0.25">
      <c r="E104" s="185"/>
      <c r="F104" s="184"/>
      <c r="G104" s="184"/>
      <c r="H104" s="184"/>
      <c r="I104" s="134"/>
      <c r="J104" s="132"/>
      <c r="K104" s="273">
        <v>30</v>
      </c>
      <c r="L104" s="117"/>
      <c r="M104" s="138"/>
      <c r="N104" s="132"/>
      <c r="O104" s="132"/>
      <c r="P104" s="185"/>
      <c r="Q104" s="184"/>
      <c r="R104" s="184"/>
      <c r="S104" s="184"/>
      <c r="T104" s="133"/>
    </row>
    <row r="105" spans="3:21" ht="20.100000000000001" customHeight="1" thickBot="1" x14ac:dyDescent="0.3">
      <c r="E105" s="185"/>
      <c r="F105" s="184"/>
      <c r="G105" s="144"/>
      <c r="H105" s="140" t="str">
        <f>IF(J110="Bye",J101,IF(OR(ISBLANK(J101),ISBLANK(J110)),"",IF(OR(ISBLANK(I101),ISBLANK(I110)),"",IF(I101&gt;I110,J101,J110))))</f>
        <v/>
      </c>
      <c r="I105" s="134"/>
      <c r="J105" s="141" t="s">
        <v>113</v>
      </c>
      <c r="K105" s="142"/>
      <c r="L105" s="132"/>
      <c r="M105" s="132"/>
      <c r="N105" s="141" t="s">
        <v>93</v>
      </c>
      <c r="O105" s="132"/>
      <c r="P105" s="143" t="str">
        <f>IF(N110="Bye",N101,IF(OR(ISBLANK(N101),ISBLANK(N110)),"",IF(OR(ISBLANK(O101),ISBLANK(O110)),"",IF(O101&gt;O110,N101,N110))))</f>
        <v/>
      </c>
      <c r="Q105" s="144"/>
      <c r="R105" s="184"/>
      <c r="S105" s="184"/>
      <c r="T105" s="133"/>
    </row>
    <row r="106" spans="3:21" ht="20.100000000000001" customHeight="1" thickTop="1" x14ac:dyDescent="0.35">
      <c r="E106" s="185"/>
      <c r="F106" s="184"/>
      <c r="G106" s="145"/>
      <c r="H106" s="146" t="str">
        <f>IF(H105="","",IF(I101&gt;I110,I101&amp;"-"&amp;I110,I110&amp;"-"&amp;I101))</f>
        <v/>
      </c>
      <c r="I106" s="134"/>
      <c r="J106" s="147" t="s">
        <v>32</v>
      </c>
      <c r="K106" s="142"/>
      <c r="L106" s="132"/>
      <c r="M106" s="132"/>
      <c r="N106" s="147" t="s">
        <v>32</v>
      </c>
      <c r="O106" s="132"/>
      <c r="P106" s="148" t="str">
        <f>IF(P105="","",IF(O101&gt;O110,O101&amp;"-"&amp;O110,O110&amp;"-"&amp;O101))</f>
        <v/>
      </c>
      <c r="Q106" s="149"/>
      <c r="R106" s="185"/>
      <c r="S106" s="184"/>
      <c r="T106" s="133"/>
    </row>
    <row r="107" spans="3:21" ht="20.100000000000001" customHeight="1" thickBot="1" x14ac:dyDescent="0.3">
      <c r="E107" s="185"/>
      <c r="F107" s="184"/>
      <c r="G107" s="150"/>
      <c r="H107" s="149"/>
      <c r="I107" s="134"/>
      <c r="J107" s="132"/>
      <c r="K107" s="273">
        <v>14</v>
      </c>
      <c r="L107" s="117"/>
      <c r="M107" s="118"/>
      <c r="N107" s="132"/>
      <c r="O107" s="132"/>
      <c r="P107" s="150"/>
      <c r="Q107" s="149"/>
      <c r="R107" s="185"/>
      <c r="S107" s="184"/>
      <c r="T107" s="133"/>
    </row>
    <row r="108" spans="3:21" ht="20.100000000000001" customHeight="1" thickTop="1" x14ac:dyDescent="0.25">
      <c r="E108" s="185"/>
      <c r="F108" s="184"/>
      <c r="G108" s="150"/>
      <c r="H108" s="149"/>
      <c r="I108" s="134"/>
      <c r="J108" s="135"/>
      <c r="K108" s="274"/>
      <c r="L108" s="120" t="str">
        <f>IF(ISBLANK(L107),"",IFERROR(_xlfn.XLOOKUP(L107,'List of Teams'!$B$2:$B$65,'List of Teams'!$C$2:$C$65),""))</f>
        <v/>
      </c>
      <c r="M108" s="121"/>
      <c r="N108" s="132"/>
      <c r="O108" s="132"/>
      <c r="P108" s="150"/>
      <c r="Q108" s="149"/>
      <c r="R108" s="185"/>
      <c r="S108" s="184"/>
      <c r="T108" s="133"/>
    </row>
    <row r="109" spans="3:21" ht="20.100000000000001" customHeight="1" thickBot="1" x14ac:dyDescent="0.3">
      <c r="E109" s="185"/>
      <c r="F109" s="184"/>
      <c r="G109" s="150"/>
      <c r="H109" s="149"/>
      <c r="I109" s="151"/>
      <c r="J109" s="152" t="str">
        <f>IF(J110="","",IF(M107&lt;M112,M107&amp;"-"&amp;M112,M112&amp;"-"&amp;M107))</f>
        <v/>
      </c>
      <c r="K109" s="273"/>
      <c r="L109" s="124" t="s">
        <v>100</v>
      </c>
      <c r="M109" s="125"/>
      <c r="N109" s="131" t="str">
        <f>IF(N110="","",IF(M107&gt;M112,M107&amp;"-"&amp;M112,M112&amp;"-"&amp;M107))</f>
        <v/>
      </c>
      <c r="O109" s="153"/>
      <c r="P109" s="150"/>
      <c r="Q109" s="149"/>
      <c r="R109" s="185"/>
      <c r="S109" s="184"/>
      <c r="T109" s="133"/>
    </row>
    <row r="110" spans="3:21" ht="20.100000000000001" customHeight="1" thickTop="1" x14ac:dyDescent="0.35">
      <c r="E110" s="185"/>
      <c r="F110" s="184"/>
      <c r="G110" s="150"/>
      <c r="H110" s="149"/>
      <c r="I110" s="154"/>
      <c r="J110" s="155" t="str">
        <f>IF(L112="Bye",L112,IF(OR(ISBLANK(L107),ISBLANK(L112)),"",IF(OR(ISBLANK(M107),ISBLANK(M112)),"",IF(M107&lt;M112,L107,L112))))</f>
        <v/>
      </c>
      <c r="K110" s="275"/>
      <c r="L110" s="130" t="s">
        <v>32</v>
      </c>
      <c r="M110" s="125"/>
      <c r="N110" s="156" t="str">
        <f>IF(L112="Bye",L107,IF(OR(ISBLANK(L107),ISBLANK(L112)),"",IF(OR(ISBLANK(M107),ISBLANK(M112)),"",IF(M107&gt;M112,L107,L112))))</f>
        <v/>
      </c>
      <c r="O110" s="154"/>
      <c r="P110" s="149"/>
      <c r="Q110" s="149"/>
      <c r="R110" s="185"/>
      <c r="S110" s="184"/>
      <c r="T110" s="133"/>
    </row>
    <row r="111" spans="3:21" ht="20.100000000000001" customHeight="1" thickBot="1" x14ac:dyDescent="0.3">
      <c r="E111" s="185"/>
      <c r="F111" s="184"/>
      <c r="G111" s="150"/>
      <c r="H111" s="149"/>
      <c r="I111" s="149"/>
      <c r="J111" s="157"/>
      <c r="K111" s="276"/>
      <c r="L111" s="136" t="str">
        <f>IF(ISBLANK(L112),"",IFERROR(_xlfn.XLOOKUP(L112,'List of Teams'!$B$2:$B$65,'List of Teams'!$C$2:$C$65),""))</f>
        <v/>
      </c>
      <c r="M111" s="137"/>
      <c r="N111" s="149"/>
      <c r="O111" s="149"/>
      <c r="P111" s="149"/>
      <c r="Q111" s="149"/>
      <c r="R111" s="185"/>
      <c r="S111" s="184"/>
      <c r="T111" s="133"/>
    </row>
    <row r="112" spans="3:21" ht="20.100000000000001" customHeight="1" thickTop="1" x14ac:dyDescent="0.25">
      <c r="E112" s="185"/>
      <c r="F112" s="184"/>
      <c r="G112" s="150"/>
      <c r="H112" s="149"/>
      <c r="I112" s="149"/>
      <c r="J112" s="149"/>
      <c r="K112" s="273">
        <v>19</v>
      </c>
      <c r="L112" s="117"/>
      <c r="M112" s="138"/>
      <c r="N112" s="149"/>
      <c r="O112" s="149"/>
      <c r="P112" s="149"/>
      <c r="Q112" s="149"/>
      <c r="R112" s="185"/>
      <c r="S112" s="184"/>
      <c r="T112" s="133"/>
    </row>
    <row r="113" spans="5:22" ht="20.100000000000001" customHeight="1" thickBot="1" x14ac:dyDescent="0.3">
      <c r="E113" s="189"/>
      <c r="F113" s="190" t="str">
        <f>IF(F114="","",IF(G105&gt;G122,G105&amp;"-"&amp;G122,G122&amp;"-"&amp;G105))</f>
        <v/>
      </c>
      <c r="G113" s="150"/>
      <c r="H113" s="159" t="s">
        <v>50</v>
      </c>
      <c r="I113" s="149"/>
      <c r="J113" s="149"/>
      <c r="K113" s="149"/>
      <c r="L113" s="149"/>
      <c r="M113" s="149"/>
      <c r="N113" s="149"/>
      <c r="O113" s="149"/>
      <c r="P113" s="159" t="s">
        <v>86</v>
      </c>
      <c r="Q113" s="149"/>
      <c r="R113" s="191" t="str">
        <f>IF(R114="","",IF(Q105&gt;Q122,Q105&amp;"-"&amp;Q122,Q122&amp;"-"&amp;Q105))</f>
        <v/>
      </c>
      <c r="S113" s="192"/>
      <c r="T113" s="133"/>
    </row>
    <row r="114" spans="5:22" ht="20.100000000000001" customHeight="1" thickTop="1" x14ac:dyDescent="0.35">
      <c r="E114" s="193"/>
      <c r="F114" s="194" t="str">
        <f>IF(H122="Bye",H105,IF(OR(ISBLANK(H105),ISBLANK(H122)),"",IF(OR(ISBLANK(G105),ISBLANK(G122)),"",IF(G105&gt;G122,H105,H122))))</f>
        <v/>
      </c>
      <c r="G114" s="150"/>
      <c r="H114" s="161" t="s">
        <v>32</v>
      </c>
      <c r="I114" s="149"/>
      <c r="J114" s="149"/>
      <c r="K114" s="149"/>
      <c r="L114" s="149"/>
      <c r="M114" s="149"/>
      <c r="N114" s="149"/>
      <c r="O114" s="149"/>
      <c r="P114" s="161" t="s">
        <v>32</v>
      </c>
      <c r="Q114" s="149"/>
      <c r="R114" s="195" t="str">
        <f>IF(P122="Bye",P105,IF(OR(ISBLANK(P105),ISBLANK(P122)),"",IF(OR(ISBLANK(Q105),ISBLANK(Q122)),"",IF(Q105&gt;Q122,P105,P122))))</f>
        <v/>
      </c>
      <c r="S114" s="193"/>
    </row>
    <row r="115" spans="5:22" ht="20.100000000000001" customHeight="1" thickBot="1" x14ac:dyDescent="0.3">
      <c r="G115" s="150"/>
      <c r="H115" s="149"/>
      <c r="I115" s="149"/>
      <c r="J115" s="149"/>
      <c r="K115" s="273">
        <v>11</v>
      </c>
      <c r="L115" s="117"/>
      <c r="M115" s="118"/>
      <c r="N115" s="149"/>
      <c r="O115" s="149"/>
      <c r="P115" s="149"/>
      <c r="Q115" s="149"/>
      <c r="R115" s="133"/>
    </row>
    <row r="116" spans="5:22" ht="20.100000000000001" customHeight="1" thickTop="1" thickBot="1" x14ac:dyDescent="0.3">
      <c r="G116" s="150"/>
      <c r="H116" s="149"/>
      <c r="I116" s="149"/>
      <c r="J116" s="157"/>
      <c r="K116" s="274"/>
      <c r="L116" s="120" t="str">
        <f>IF(ISBLANK(L115),"",IFERROR(_xlfn.XLOOKUP(L115,'List of Teams'!$B$2:$B$65,'List of Teams'!$C$2:$C$65),""))</f>
        <v/>
      </c>
      <c r="M116" s="121"/>
      <c r="N116" s="149"/>
      <c r="O116" s="149"/>
      <c r="P116" s="149"/>
      <c r="Q116" s="149"/>
      <c r="R116" s="133"/>
      <c r="T116" s="221"/>
      <c r="U116" s="202"/>
    </row>
    <row r="117" spans="5:22" ht="20.100000000000001" customHeight="1" thickTop="1" thickBot="1" x14ac:dyDescent="0.3">
      <c r="G117" s="150"/>
      <c r="H117" s="149"/>
      <c r="I117" s="127"/>
      <c r="J117" s="123" t="str">
        <f>IF(L120="Bye",L120,IF(OR(ISBLANK(L115),ISBLANK(L120)),"",IF(OR(ISBLANK(M115),ISBLANK(M120)),"",IF(M115&lt;M120,L115,L120))))</f>
        <v/>
      </c>
      <c r="K117" s="275"/>
      <c r="L117" s="124" t="s">
        <v>101</v>
      </c>
      <c r="M117" s="125"/>
      <c r="N117" s="126" t="str">
        <f>IF(L120="Bye",L115,IF(OR(ISBLANK(L115),ISBLANK(L120)),"",IF(OR(ISBLANK(M115),ISBLANK(M120)),"",IF(M115&gt;M120,L115,L120))))</f>
        <v/>
      </c>
      <c r="O117" s="127"/>
      <c r="P117" s="149"/>
      <c r="Q117" s="149"/>
      <c r="R117" s="133"/>
      <c r="T117" s="210"/>
      <c r="U117" s="210"/>
      <c r="V117" s="133"/>
    </row>
    <row r="118" spans="5:22" ht="20.100000000000001" customHeight="1" thickTop="1" thickBot="1" x14ac:dyDescent="0.4">
      <c r="G118" s="150"/>
      <c r="H118" s="149"/>
      <c r="I118" s="128"/>
      <c r="J118" s="129" t="str">
        <f>IF(J117="","",IF(M115&lt;M120,M115&amp;"-"&amp;M120,M120&amp;"-"&amp;M115))</f>
        <v/>
      </c>
      <c r="K118" s="273"/>
      <c r="L118" s="130" t="s">
        <v>32</v>
      </c>
      <c r="M118" s="125"/>
      <c r="N118" s="131" t="str">
        <f>IF(N117="","",IF(M115&gt;M120,M115&amp;"-"&amp;M120,M120&amp;"-"&amp;M115))</f>
        <v/>
      </c>
      <c r="O118" s="132"/>
      <c r="P118" s="150"/>
      <c r="Q118" s="149"/>
      <c r="R118" s="133"/>
      <c r="T118" s="212" t="s">
        <v>48</v>
      </c>
      <c r="U118" s="210"/>
      <c r="V118" s="214"/>
    </row>
    <row r="119" spans="5:22" ht="20.100000000000001" customHeight="1" thickTop="1" thickBot="1" x14ac:dyDescent="0.4">
      <c r="G119" s="150"/>
      <c r="H119" s="149"/>
      <c r="I119" s="134"/>
      <c r="J119" s="135"/>
      <c r="K119" s="276"/>
      <c r="L119" s="136" t="str">
        <f>IF(ISBLANK(L120),"",IFERROR(_xlfn.XLOOKUP(L120,'List of Teams'!$B$2:$B$65,'List of Teams'!$C$2:$C$65),""))</f>
        <v/>
      </c>
      <c r="M119" s="137"/>
      <c r="N119" s="132"/>
      <c r="O119" s="132"/>
      <c r="P119" s="150"/>
      <c r="Q119" s="149"/>
      <c r="R119" s="133"/>
      <c r="T119" s="213" t="s">
        <v>32</v>
      </c>
      <c r="U119" s="210"/>
      <c r="V119" s="222"/>
    </row>
    <row r="120" spans="5:22" ht="20.100000000000001" customHeight="1" thickTop="1" thickBot="1" x14ac:dyDescent="0.3">
      <c r="G120" s="150"/>
      <c r="H120" s="149"/>
      <c r="I120" s="134"/>
      <c r="J120" s="132"/>
      <c r="K120" s="273">
        <v>22</v>
      </c>
      <c r="L120" s="117"/>
      <c r="M120" s="138"/>
      <c r="N120" s="132"/>
      <c r="O120" s="132"/>
      <c r="P120" s="150"/>
      <c r="Q120" s="149"/>
      <c r="R120" s="133"/>
      <c r="T120" s="210"/>
      <c r="U120" s="210"/>
      <c r="V120" s="133"/>
    </row>
    <row r="121" spans="5:22" ht="20.100000000000001" customHeight="1" thickTop="1" thickBot="1" x14ac:dyDescent="0.3">
      <c r="G121" s="163"/>
      <c r="H121" s="164" t="str">
        <f>IF(H122="","",IF(I117&gt;I126,I117&amp;"-"&amp;I126,I126&amp;"-"&amp;I117))</f>
        <v/>
      </c>
      <c r="I121" s="134"/>
      <c r="J121" s="141" t="s">
        <v>114</v>
      </c>
      <c r="K121" s="142"/>
      <c r="L121" s="132"/>
      <c r="M121" s="132"/>
      <c r="N121" s="141" t="s">
        <v>94</v>
      </c>
      <c r="O121" s="132"/>
      <c r="P121" s="165" t="str">
        <f>IF(P122="","",IF(O117&gt;O126,O117&amp;"-"&amp;O126,O126&amp;"-"&amp;O117))</f>
        <v/>
      </c>
      <c r="Q121" s="166"/>
      <c r="R121" s="133"/>
      <c r="T121" s="223"/>
      <c r="U121" s="218"/>
    </row>
    <row r="122" spans="5:22" ht="20.100000000000001" customHeight="1" thickTop="1" x14ac:dyDescent="0.35">
      <c r="G122" s="167"/>
      <c r="H122" s="168" t="str">
        <f>IF(J126="Bye",J117,IF(OR(ISBLANK(J117),ISBLANK(J126)),"",IF(OR(ISBLANK(I117),ISBLANK(I126)),"",IF(I117&gt;I126,J117,J126))))</f>
        <v/>
      </c>
      <c r="I122" s="134"/>
      <c r="J122" s="147" t="s">
        <v>32</v>
      </c>
      <c r="K122" s="142"/>
      <c r="L122" s="132"/>
      <c r="M122" s="132"/>
      <c r="N122" s="147" t="s">
        <v>32</v>
      </c>
      <c r="O122" s="132"/>
      <c r="P122" s="169" t="str">
        <f>IF(N126="Bye",N117,IF(OR(ISBLANK(N117),ISBLANK(N126)),"",IF(OR(ISBLANK(O117),ISBLANK(O126)),"",IF(O117&gt;O126,N117,N126))))</f>
        <v/>
      </c>
      <c r="Q122" s="167"/>
    </row>
    <row r="123" spans="5:22" ht="20.100000000000001" customHeight="1" thickBot="1" x14ac:dyDescent="0.3">
      <c r="I123" s="134"/>
      <c r="J123" s="132"/>
      <c r="K123" s="273">
        <v>6</v>
      </c>
      <c r="L123" s="117"/>
      <c r="M123" s="118"/>
      <c r="N123" s="132"/>
      <c r="O123" s="132"/>
      <c r="P123" s="133"/>
    </row>
    <row r="124" spans="5:22" ht="20.100000000000001" customHeight="1" thickTop="1" x14ac:dyDescent="0.25">
      <c r="I124" s="134"/>
      <c r="J124" s="135"/>
      <c r="K124" s="274"/>
      <c r="L124" s="120" t="str">
        <f>IF(ISBLANK(L123),"",IFERROR(_xlfn.XLOOKUP(L123,'List of Teams'!$B$2:$B$65,'List of Teams'!$C$2:$C$65),""))</f>
        <v/>
      </c>
      <c r="M124" s="121"/>
      <c r="N124" s="132"/>
      <c r="O124" s="132"/>
      <c r="P124" s="133"/>
    </row>
    <row r="125" spans="5:22" ht="20.100000000000001" customHeight="1" thickBot="1" x14ac:dyDescent="0.3">
      <c r="I125" s="151"/>
      <c r="J125" s="152" t="str">
        <f>IF(J126="","",IF(M123&lt;M128,M123&amp;"-"&amp;M128,M128&amp;"-"&amp;M123))</f>
        <v/>
      </c>
      <c r="K125" s="273"/>
      <c r="L125" s="124" t="s">
        <v>102</v>
      </c>
      <c r="M125" s="125"/>
      <c r="N125" s="131" t="str">
        <f>IF(N126="","",IF(M123&gt;M128,M123&amp;"-"&amp;M128,M128&amp;"-"&amp;M123))</f>
        <v/>
      </c>
      <c r="O125" s="153"/>
      <c r="P125" s="133"/>
    </row>
    <row r="126" spans="5:22" ht="20.100000000000001" customHeight="1" thickTop="1" x14ac:dyDescent="0.35">
      <c r="I126" s="154"/>
      <c r="J126" s="155" t="str">
        <f>IF(L128="Bye",L128,IF(OR(ISBLANK(L123),ISBLANK(L128)),"",IF(OR(ISBLANK(M123),ISBLANK(M128)),"",IF(M123&lt;M128,L123,L128))))</f>
        <v/>
      </c>
      <c r="K126" s="275"/>
      <c r="L126" s="130" t="s">
        <v>32</v>
      </c>
      <c r="M126" s="125"/>
      <c r="N126" s="156" t="str">
        <f>IF(L128="Bye",L123,IF(OR(ISBLANK(L123),ISBLANK(L128)),"",IF(OR(ISBLANK(M123),ISBLANK(M128)),"",IF(M123&gt;M128,L123,L128))))</f>
        <v/>
      </c>
      <c r="O126" s="154"/>
    </row>
    <row r="127" spans="5:22" ht="20.100000000000001" customHeight="1" thickBot="1" x14ac:dyDescent="0.3">
      <c r="J127" s="119"/>
      <c r="K127" s="276"/>
      <c r="L127" s="136" t="str">
        <f>IF(ISBLANK(L128),"",IFERROR(_xlfn.XLOOKUP(L128,'List of Teams'!$B$2:$B$65,'List of Teams'!$C$2:$C$65),""))</f>
        <v/>
      </c>
      <c r="M127" s="137"/>
    </row>
    <row r="128" spans="5:22" ht="20.100000000000001" customHeight="1" thickTop="1" x14ac:dyDescent="0.25">
      <c r="K128" s="273">
        <v>27</v>
      </c>
      <c r="L128" s="117"/>
      <c r="M128" s="138"/>
    </row>
    <row r="129" ht="20.100000000000001" customHeight="1" x14ac:dyDescent="0.25"/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799F3-7DCC-45AC-9AC1-1E31E27D3455}">
  <sheetPr codeName="Sheet16">
    <tabColor rgb="FFFFFF00"/>
  </sheetPr>
  <dimension ref="B1:Z256"/>
  <sheetViews>
    <sheetView showGridLines="0" zoomScale="48" zoomScaleNormal="48" workbookViewId="0"/>
  </sheetViews>
  <sheetFormatPr defaultRowHeight="20.100000000000001" customHeight="1" x14ac:dyDescent="0.25"/>
  <cols>
    <col min="1" max="1" width="5.7109375" style="114" customWidth="1"/>
    <col min="2" max="2" width="50.7109375" style="114" customWidth="1"/>
    <col min="3" max="3" width="5.7109375" style="114" customWidth="1"/>
    <col min="4" max="4" width="50.7109375" style="114" customWidth="1"/>
    <col min="5" max="5" width="5.7109375" style="114" customWidth="1"/>
    <col min="6" max="6" width="50.7109375" style="114" customWidth="1"/>
    <col min="7" max="7" width="5.7109375" style="114" customWidth="1"/>
    <col min="8" max="8" width="50.7109375" style="114" customWidth="1"/>
    <col min="9" max="9" width="5.7109375" style="114" customWidth="1"/>
    <col min="10" max="10" width="50.7109375" style="114" customWidth="1"/>
    <col min="11" max="11" width="5.7109375" style="114" customWidth="1"/>
    <col min="12" max="12" width="50.7109375" style="114" customWidth="1"/>
    <col min="13" max="13" width="5.7109375" style="114" customWidth="1"/>
    <col min="14" max="14" width="50.7109375" style="114" customWidth="1"/>
    <col min="15" max="15" width="5.7109375" style="114" customWidth="1"/>
    <col min="16" max="16" width="50.7109375" style="114" customWidth="1"/>
    <col min="17" max="17" width="5.7109375" style="114" customWidth="1"/>
    <col min="18" max="18" width="50.7109375" style="114" customWidth="1"/>
    <col min="19" max="19" width="5.7109375" style="114" customWidth="1"/>
    <col min="20" max="20" width="50.7109375" style="114" customWidth="1"/>
    <col min="21" max="21" width="5.7109375" style="114" customWidth="1"/>
    <col min="22" max="22" width="50.7109375" style="114" customWidth="1"/>
    <col min="23" max="23" width="5.7109375" style="114" customWidth="1"/>
    <col min="24" max="24" width="50.7109375" style="114" customWidth="1"/>
    <col min="25" max="25" width="5.7109375" style="114" customWidth="1"/>
    <col min="26" max="26" width="50.7109375" style="114" customWidth="1"/>
    <col min="27" max="27" width="5.7109375" style="114" customWidth="1"/>
    <col min="28" max="16384" width="9.140625" style="114"/>
  </cols>
  <sheetData>
    <row r="1" spans="9:20" ht="45" customHeight="1" x14ac:dyDescent="0.25">
      <c r="M1" s="115"/>
      <c r="N1" s="116"/>
      <c r="O1" s="115"/>
    </row>
    <row r="2" spans="9:20" ht="9.9499999999999993" customHeight="1" x14ac:dyDescent="0.25"/>
    <row r="3" spans="9:20" ht="20.100000000000001" customHeight="1" thickBot="1" x14ac:dyDescent="0.3">
      <c r="M3" s="273">
        <v>1</v>
      </c>
      <c r="N3" s="117"/>
      <c r="O3" s="118"/>
    </row>
    <row r="4" spans="9:20" ht="20.100000000000001" customHeight="1" thickTop="1" x14ac:dyDescent="0.25">
      <c r="L4" s="119"/>
      <c r="M4" s="274"/>
      <c r="N4" s="120" t="str">
        <f>IF(ISBLANK(N3),"",IFERROR(_xlfn.XLOOKUP(N3,'List of Teams'!$B$2:$B$65,'List of Teams'!$C$2:$C$65),""))</f>
        <v/>
      </c>
      <c r="O4" s="121"/>
    </row>
    <row r="5" spans="9:20" ht="20.100000000000001" customHeight="1" thickBot="1" x14ac:dyDescent="0.3">
      <c r="K5" s="127"/>
      <c r="L5" s="224"/>
      <c r="M5" s="275"/>
      <c r="N5" s="225" t="s">
        <v>40</v>
      </c>
      <c r="O5" s="125"/>
      <c r="P5" s="126"/>
      <c r="Q5" s="127"/>
    </row>
    <row r="6" spans="9:20" ht="20.100000000000001" customHeight="1" thickTop="1" x14ac:dyDescent="0.25">
      <c r="K6" s="128"/>
      <c r="L6" s="226"/>
      <c r="M6" s="273"/>
      <c r="N6" s="227" t="s">
        <v>32</v>
      </c>
      <c r="O6" s="125"/>
      <c r="P6" s="131"/>
      <c r="Q6" s="132"/>
      <c r="R6" s="133"/>
    </row>
    <row r="7" spans="9:20" ht="20.100000000000001" customHeight="1" thickBot="1" x14ac:dyDescent="0.3">
      <c r="K7" s="134"/>
      <c r="L7" s="135"/>
      <c r="M7" s="276"/>
      <c r="N7" s="136" t="str">
        <f>IF(ISBLANK(N8),"",IFERROR(_xlfn.XLOOKUP(N8,'List of Teams'!$B$2:$B$65,'List of Teams'!$C$2:$C$65),""))</f>
        <v/>
      </c>
      <c r="O7" s="137"/>
      <c r="P7" s="132"/>
      <c r="Q7" s="132"/>
      <c r="R7" s="133"/>
    </row>
    <row r="8" spans="9:20" ht="20.100000000000001" customHeight="1" thickTop="1" x14ac:dyDescent="0.25">
      <c r="K8" s="134"/>
      <c r="L8" s="132"/>
      <c r="M8" s="273">
        <v>64</v>
      </c>
      <c r="N8" s="117"/>
      <c r="O8" s="138"/>
      <c r="P8" s="132"/>
      <c r="Q8" s="132"/>
      <c r="R8" s="133"/>
    </row>
    <row r="9" spans="9:20" ht="20.100000000000001" customHeight="1" thickBot="1" x14ac:dyDescent="0.3">
      <c r="I9" s="144"/>
      <c r="J9" s="228"/>
      <c r="K9" s="134"/>
      <c r="L9" s="142" t="s">
        <v>107</v>
      </c>
      <c r="M9" s="142"/>
      <c r="N9" s="132"/>
      <c r="O9" s="132"/>
      <c r="P9" s="142" t="s">
        <v>87</v>
      </c>
      <c r="Q9" s="132"/>
      <c r="R9" s="143"/>
      <c r="S9" s="144"/>
    </row>
    <row r="10" spans="9:20" ht="20.100000000000001" customHeight="1" thickTop="1" x14ac:dyDescent="0.25">
      <c r="I10" s="145"/>
      <c r="J10" s="229"/>
      <c r="K10" s="134"/>
      <c r="L10" s="142" t="s">
        <v>32</v>
      </c>
      <c r="M10" s="142"/>
      <c r="N10" s="132"/>
      <c r="O10" s="132"/>
      <c r="P10" s="142" t="s">
        <v>32</v>
      </c>
      <c r="Q10" s="132"/>
      <c r="R10" s="230"/>
      <c r="S10" s="149"/>
      <c r="T10" s="133"/>
    </row>
    <row r="11" spans="9:20" ht="20.100000000000001" customHeight="1" thickBot="1" x14ac:dyDescent="0.3">
      <c r="I11" s="150"/>
      <c r="J11" s="149"/>
      <c r="K11" s="134"/>
      <c r="L11" s="132"/>
      <c r="M11" s="273">
        <v>32</v>
      </c>
      <c r="N11" s="117"/>
      <c r="O11" s="118"/>
      <c r="P11" s="132"/>
      <c r="Q11" s="132"/>
      <c r="R11" s="150"/>
      <c r="S11" s="149"/>
      <c r="T11" s="133"/>
    </row>
    <row r="12" spans="9:20" ht="20.100000000000001" customHeight="1" thickTop="1" x14ac:dyDescent="0.25">
      <c r="I12" s="150"/>
      <c r="J12" s="149"/>
      <c r="K12" s="134"/>
      <c r="L12" s="135"/>
      <c r="M12" s="274"/>
      <c r="N12" s="120" t="str">
        <f>IF(ISBLANK(N11),"",IFERROR(_xlfn.XLOOKUP(N11,'List of Teams'!$B$2:$B$65,'List of Teams'!$C$2:$C$65),""))</f>
        <v/>
      </c>
      <c r="O12" s="121"/>
      <c r="P12" s="132"/>
      <c r="Q12" s="132"/>
      <c r="R12" s="150"/>
      <c r="S12" s="149"/>
      <c r="T12" s="133"/>
    </row>
    <row r="13" spans="9:20" ht="20.100000000000001" customHeight="1" thickBot="1" x14ac:dyDescent="0.3">
      <c r="I13" s="150"/>
      <c r="J13" s="149"/>
      <c r="K13" s="151"/>
      <c r="L13" s="231"/>
      <c r="M13" s="273"/>
      <c r="N13" s="225" t="s">
        <v>41</v>
      </c>
      <c r="O13" s="125"/>
      <c r="P13" s="232"/>
      <c r="Q13" s="153"/>
      <c r="R13" s="150"/>
      <c r="S13" s="149"/>
      <c r="T13" s="133"/>
    </row>
    <row r="14" spans="9:20" ht="20.100000000000001" customHeight="1" thickTop="1" x14ac:dyDescent="0.25">
      <c r="I14" s="150"/>
      <c r="J14" s="149"/>
      <c r="K14" s="154"/>
      <c r="L14" s="233"/>
      <c r="M14" s="275"/>
      <c r="N14" s="227" t="s">
        <v>32</v>
      </c>
      <c r="O14" s="125"/>
      <c r="P14" s="234"/>
      <c r="Q14" s="154"/>
      <c r="R14" s="149"/>
      <c r="S14" s="149"/>
      <c r="T14" s="133"/>
    </row>
    <row r="15" spans="9:20" ht="20.100000000000001" customHeight="1" thickBot="1" x14ac:dyDescent="0.3">
      <c r="I15" s="150"/>
      <c r="J15" s="149"/>
      <c r="K15" s="149"/>
      <c r="L15" s="157"/>
      <c r="M15" s="276"/>
      <c r="N15" s="136" t="str">
        <f>IF(ISBLANK(N16),"",IFERROR(_xlfn.XLOOKUP(N16,'List of Teams'!$B$2:$B$65,'List of Teams'!$C$2:$C$65),""))</f>
        <v/>
      </c>
      <c r="O15" s="137"/>
      <c r="P15" s="149"/>
      <c r="Q15" s="149"/>
      <c r="R15" s="149"/>
      <c r="S15" s="149"/>
      <c r="T15" s="133"/>
    </row>
    <row r="16" spans="9:20" ht="20.100000000000001" customHeight="1" thickTop="1" x14ac:dyDescent="0.25">
      <c r="I16" s="150"/>
      <c r="J16" s="235" t="s">
        <v>49</v>
      </c>
      <c r="K16" s="149"/>
      <c r="L16" s="149"/>
      <c r="M16" s="273">
        <v>33</v>
      </c>
      <c r="N16" s="117"/>
      <c r="O16" s="138"/>
      <c r="P16" s="149"/>
      <c r="Q16" s="149"/>
      <c r="R16" s="235" t="s">
        <v>83</v>
      </c>
      <c r="S16" s="149"/>
      <c r="T16" s="133"/>
    </row>
    <row r="17" spans="7:22" ht="20.100000000000001" customHeight="1" thickBot="1" x14ac:dyDescent="0.3">
      <c r="G17" s="178"/>
      <c r="H17" s="236"/>
      <c r="I17" s="150"/>
      <c r="J17" s="235" t="s">
        <v>32</v>
      </c>
      <c r="K17" s="149"/>
      <c r="L17" s="149"/>
      <c r="M17" s="149"/>
      <c r="N17" s="149"/>
      <c r="O17" s="149"/>
      <c r="P17" s="149"/>
      <c r="Q17" s="149"/>
      <c r="R17" s="235" t="s">
        <v>32</v>
      </c>
      <c r="S17" s="149"/>
      <c r="T17" s="180"/>
      <c r="U17" s="178"/>
    </row>
    <row r="18" spans="7:22" ht="20.100000000000001" customHeight="1" thickTop="1" x14ac:dyDescent="0.25">
      <c r="G18" s="181"/>
      <c r="H18" s="237"/>
      <c r="I18" s="150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238"/>
      <c r="U18" s="184"/>
      <c r="V18" s="133"/>
    </row>
    <row r="19" spans="7:22" ht="20.100000000000001" customHeight="1" thickBot="1" x14ac:dyDescent="0.3">
      <c r="G19" s="185"/>
      <c r="H19" s="184"/>
      <c r="I19" s="150"/>
      <c r="J19" s="149"/>
      <c r="K19" s="149"/>
      <c r="L19" s="149"/>
      <c r="M19" s="273">
        <v>17</v>
      </c>
      <c r="N19" s="117"/>
      <c r="O19" s="118"/>
      <c r="P19" s="149"/>
      <c r="Q19" s="149"/>
      <c r="R19" s="149"/>
      <c r="S19" s="149"/>
      <c r="T19" s="185"/>
      <c r="U19" s="184"/>
      <c r="V19" s="133"/>
    </row>
    <row r="20" spans="7:22" ht="20.100000000000001" customHeight="1" thickTop="1" x14ac:dyDescent="0.25">
      <c r="G20" s="185"/>
      <c r="H20" s="184"/>
      <c r="I20" s="150"/>
      <c r="J20" s="149"/>
      <c r="K20" s="149"/>
      <c r="L20" s="157"/>
      <c r="M20" s="274"/>
      <c r="N20" s="120" t="str">
        <f>IF(ISBLANK(N19),"",IFERROR(_xlfn.XLOOKUP(N19,'List of Teams'!$B$2:$B$65,'List of Teams'!$C$2:$C$65),""))</f>
        <v/>
      </c>
      <c r="O20" s="121"/>
      <c r="P20" s="149"/>
      <c r="Q20" s="149"/>
      <c r="R20" s="149"/>
      <c r="S20" s="149"/>
      <c r="T20" s="185"/>
      <c r="U20" s="184"/>
      <c r="V20" s="133"/>
    </row>
    <row r="21" spans="7:22" ht="20.100000000000001" customHeight="1" thickBot="1" x14ac:dyDescent="0.3">
      <c r="G21" s="185"/>
      <c r="H21" s="184"/>
      <c r="I21" s="150"/>
      <c r="J21" s="149"/>
      <c r="K21" s="127"/>
      <c r="L21" s="224"/>
      <c r="M21" s="275"/>
      <c r="N21" s="225" t="s">
        <v>42</v>
      </c>
      <c r="O21" s="125"/>
      <c r="P21" s="126"/>
      <c r="Q21" s="127"/>
      <c r="R21" s="149"/>
      <c r="S21" s="149"/>
      <c r="T21" s="185"/>
      <c r="U21" s="184"/>
      <c r="V21" s="133"/>
    </row>
    <row r="22" spans="7:22" ht="20.100000000000001" customHeight="1" thickTop="1" x14ac:dyDescent="0.25">
      <c r="G22" s="185"/>
      <c r="H22" s="184"/>
      <c r="I22" s="150"/>
      <c r="J22" s="149"/>
      <c r="K22" s="128"/>
      <c r="L22" s="226"/>
      <c r="M22" s="273"/>
      <c r="N22" s="227" t="s">
        <v>32</v>
      </c>
      <c r="O22" s="125"/>
      <c r="P22" s="131"/>
      <c r="Q22" s="132"/>
      <c r="R22" s="150"/>
      <c r="S22" s="149"/>
      <c r="T22" s="185"/>
      <c r="U22" s="184"/>
      <c r="V22" s="133"/>
    </row>
    <row r="23" spans="7:22" ht="20.100000000000001" customHeight="1" thickBot="1" x14ac:dyDescent="0.3">
      <c r="G23" s="185"/>
      <c r="H23" s="184"/>
      <c r="I23" s="150"/>
      <c r="J23" s="149"/>
      <c r="K23" s="134"/>
      <c r="L23" s="135"/>
      <c r="M23" s="276"/>
      <c r="N23" s="136" t="str">
        <f>IF(ISBLANK(N24),"",IFERROR(_xlfn.XLOOKUP(N24,'List of Teams'!$B$2:$B$65,'List of Teams'!$C$2:$C$65),""))</f>
        <v/>
      </c>
      <c r="O23" s="137"/>
      <c r="P23" s="132"/>
      <c r="Q23" s="132"/>
      <c r="R23" s="150"/>
      <c r="S23" s="149"/>
      <c r="T23" s="185"/>
      <c r="U23" s="184"/>
      <c r="V23" s="133"/>
    </row>
    <row r="24" spans="7:22" ht="20.100000000000001" customHeight="1" thickTop="1" x14ac:dyDescent="0.25">
      <c r="G24" s="185"/>
      <c r="H24" s="184"/>
      <c r="I24" s="150"/>
      <c r="J24" s="149"/>
      <c r="K24" s="134"/>
      <c r="L24" s="132"/>
      <c r="M24" s="273">
        <v>48</v>
      </c>
      <c r="N24" s="117"/>
      <c r="O24" s="138"/>
      <c r="P24" s="132"/>
      <c r="Q24" s="132"/>
      <c r="R24" s="150"/>
      <c r="S24" s="149"/>
      <c r="T24" s="185"/>
      <c r="U24" s="184"/>
      <c r="V24" s="133"/>
    </row>
    <row r="25" spans="7:22" ht="20.100000000000001" customHeight="1" thickBot="1" x14ac:dyDescent="0.3">
      <c r="G25" s="185"/>
      <c r="H25" s="184"/>
      <c r="I25" s="163"/>
      <c r="J25" s="239"/>
      <c r="K25" s="134"/>
      <c r="L25" s="142" t="s">
        <v>108</v>
      </c>
      <c r="M25" s="142"/>
      <c r="N25" s="132"/>
      <c r="O25" s="132"/>
      <c r="P25" s="142" t="s">
        <v>88</v>
      </c>
      <c r="Q25" s="132"/>
      <c r="R25" s="240"/>
      <c r="S25" s="166"/>
      <c r="T25" s="185"/>
      <c r="U25" s="184"/>
      <c r="V25" s="133"/>
    </row>
    <row r="26" spans="7:22" ht="20.100000000000001" customHeight="1" thickTop="1" x14ac:dyDescent="0.25">
      <c r="G26" s="185"/>
      <c r="H26" s="184"/>
      <c r="I26" s="167"/>
      <c r="J26" s="241"/>
      <c r="K26" s="134"/>
      <c r="L26" s="142" t="s">
        <v>32</v>
      </c>
      <c r="M26" s="142"/>
      <c r="N26" s="132"/>
      <c r="O26" s="132"/>
      <c r="P26" s="142" t="s">
        <v>32</v>
      </c>
      <c r="Q26" s="132"/>
      <c r="R26" s="242"/>
      <c r="S26" s="167"/>
      <c r="T26" s="184"/>
      <c r="U26" s="184"/>
      <c r="V26" s="133"/>
    </row>
    <row r="27" spans="7:22" ht="20.100000000000001" customHeight="1" thickBot="1" x14ac:dyDescent="0.3">
      <c r="G27" s="185"/>
      <c r="H27" s="184"/>
      <c r="I27" s="184"/>
      <c r="J27" s="184"/>
      <c r="K27" s="134"/>
      <c r="L27" s="132"/>
      <c r="M27" s="273">
        <v>16</v>
      </c>
      <c r="N27" s="117"/>
      <c r="O27" s="118"/>
      <c r="P27" s="132"/>
      <c r="Q27" s="132"/>
      <c r="R27" s="185"/>
      <c r="S27" s="184"/>
      <c r="T27" s="184"/>
      <c r="U27" s="184"/>
      <c r="V27" s="133"/>
    </row>
    <row r="28" spans="7:22" ht="20.100000000000001" customHeight="1" thickTop="1" x14ac:dyDescent="0.25">
      <c r="G28" s="185"/>
      <c r="H28" s="184"/>
      <c r="I28" s="184"/>
      <c r="J28" s="184"/>
      <c r="K28" s="134"/>
      <c r="L28" s="135"/>
      <c r="M28" s="274"/>
      <c r="N28" s="120" t="str">
        <f>IF(ISBLANK(N27),"",IFERROR(_xlfn.XLOOKUP(N27,'List of Teams'!$B$2:$B$65,'List of Teams'!$C$2:$C$65),""))</f>
        <v/>
      </c>
      <c r="O28" s="121"/>
      <c r="P28" s="132"/>
      <c r="Q28" s="132"/>
      <c r="R28" s="185"/>
      <c r="S28" s="184"/>
      <c r="T28" s="184"/>
      <c r="U28" s="184"/>
      <c r="V28" s="133"/>
    </row>
    <row r="29" spans="7:22" ht="20.100000000000001" customHeight="1" thickBot="1" x14ac:dyDescent="0.3">
      <c r="G29" s="185"/>
      <c r="H29" s="184"/>
      <c r="I29" s="184"/>
      <c r="J29" s="184"/>
      <c r="K29" s="151"/>
      <c r="L29" s="231"/>
      <c r="M29" s="273"/>
      <c r="N29" s="225" t="s">
        <v>43</v>
      </c>
      <c r="O29" s="125"/>
      <c r="P29" s="232"/>
      <c r="Q29" s="153"/>
      <c r="R29" s="185"/>
      <c r="S29" s="184"/>
      <c r="T29" s="184"/>
      <c r="U29" s="184"/>
      <c r="V29" s="133"/>
    </row>
    <row r="30" spans="7:22" ht="20.100000000000001" customHeight="1" thickTop="1" x14ac:dyDescent="0.25">
      <c r="G30" s="185"/>
      <c r="H30" s="184"/>
      <c r="I30" s="184"/>
      <c r="J30" s="184"/>
      <c r="K30" s="154"/>
      <c r="L30" s="233"/>
      <c r="M30" s="275"/>
      <c r="N30" s="227" t="s">
        <v>32</v>
      </c>
      <c r="O30" s="125"/>
      <c r="P30" s="234"/>
      <c r="Q30" s="154"/>
      <c r="R30" s="184"/>
      <c r="S30" s="184"/>
      <c r="T30" s="184"/>
      <c r="U30" s="184"/>
      <c r="V30" s="133"/>
    </row>
    <row r="31" spans="7:22" ht="20.100000000000001" customHeight="1" thickBot="1" x14ac:dyDescent="0.3">
      <c r="G31" s="185"/>
      <c r="H31" s="184"/>
      <c r="I31" s="184"/>
      <c r="J31" s="184"/>
      <c r="K31" s="184"/>
      <c r="L31" s="186"/>
      <c r="M31" s="276"/>
      <c r="N31" s="136" t="str">
        <f>IF(ISBLANK(N32),"",IFERROR(_xlfn.XLOOKUP(N32,'List of Teams'!$B$2:$B$65,'List of Teams'!$C$2:$C$65),""))</f>
        <v/>
      </c>
      <c r="O31" s="137"/>
      <c r="P31" s="184"/>
      <c r="Q31" s="184"/>
      <c r="R31" s="184"/>
      <c r="S31" s="184"/>
      <c r="T31" s="184"/>
      <c r="U31" s="184"/>
      <c r="V31" s="133"/>
    </row>
    <row r="32" spans="7:22" ht="20.100000000000001" customHeight="1" thickTop="1" x14ac:dyDescent="0.25">
      <c r="G32" s="185"/>
      <c r="H32" s="184"/>
      <c r="I32" s="184"/>
      <c r="J32" s="184"/>
      <c r="K32" s="184"/>
      <c r="L32" s="184"/>
      <c r="M32" s="273">
        <v>49</v>
      </c>
      <c r="N32" s="117"/>
      <c r="O32" s="138"/>
      <c r="P32" s="184"/>
      <c r="Q32" s="184"/>
      <c r="R32" s="184"/>
      <c r="S32" s="184"/>
      <c r="T32" s="184"/>
      <c r="U32" s="184"/>
      <c r="V32" s="133"/>
    </row>
    <row r="33" spans="5:23" ht="20.100000000000001" customHeight="1" thickBot="1" x14ac:dyDescent="0.3">
      <c r="E33" s="202"/>
      <c r="F33" s="243"/>
      <c r="G33" s="185"/>
      <c r="H33" s="244" t="s">
        <v>53</v>
      </c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244" t="s">
        <v>34</v>
      </c>
      <c r="U33" s="184"/>
      <c r="V33" s="214"/>
      <c r="W33" s="202"/>
    </row>
    <row r="34" spans="5:23" ht="20.100000000000001" customHeight="1" thickTop="1" x14ac:dyDescent="0.25">
      <c r="E34" s="205"/>
      <c r="F34" s="210"/>
      <c r="G34" s="185"/>
      <c r="H34" s="244" t="s">
        <v>32</v>
      </c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244" t="s">
        <v>32</v>
      </c>
      <c r="U34" s="184"/>
      <c r="V34" s="209"/>
      <c r="W34" s="208"/>
    </row>
    <row r="35" spans="5:23" ht="20.100000000000001" customHeight="1" thickBot="1" x14ac:dyDescent="0.3">
      <c r="E35" s="209"/>
      <c r="F35" s="210"/>
      <c r="G35" s="185"/>
      <c r="H35" s="184"/>
      <c r="I35" s="184"/>
      <c r="J35" s="184"/>
      <c r="K35" s="184"/>
      <c r="L35" s="184"/>
      <c r="M35" s="273">
        <v>9</v>
      </c>
      <c r="N35" s="117"/>
      <c r="O35" s="118"/>
      <c r="P35" s="184"/>
      <c r="Q35" s="184"/>
      <c r="R35" s="184"/>
      <c r="S35" s="184"/>
      <c r="T35" s="184"/>
      <c r="U35" s="184"/>
      <c r="V35" s="209"/>
      <c r="W35" s="211"/>
    </row>
    <row r="36" spans="5:23" ht="20.100000000000001" customHeight="1" thickTop="1" x14ac:dyDescent="0.25">
      <c r="E36" s="209"/>
      <c r="F36" s="210"/>
      <c r="G36" s="185"/>
      <c r="H36" s="184"/>
      <c r="I36" s="184"/>
      <c r="J36" s="184"/>
      <c r="K36" s="184"/>
      <c r="L36" s="186"/>
      <c r="M36" s="274"/>
      <c r="N36" s="120" t="str">
        <f>IF(ISBLANK(N35),"",IFERROR(_xlfn.XLOOKUP(N35,'List of Teams'!$B$2:$B$65,'List of Teams'!$C$2:$C$65),""))</f>
        <v/>
      </c>
      <c r="O36" s="121"/>
      <c r="P36" s="184"/>
      <c r="Q36" s="184"/>
      <c r="R36" s="184"/>
      <c r="S36" s="184"/>
      <c r="T36" s="184"/>
      <c r="U36" s="184"/>
      <c r="V36" s="209"/>
      <c r="W36" s="211"/>
    </row>
    <row r="37" spans="5:23" ht="20.100000000000001" customHeight="1" thickBot="1" x14ac:dyDescent="0.3">
      <c r="E37" s="209"/>
      <c r="F37" s="210"/>
      <c r="G37" s="185"/>
      <c r="H37" s="184"/>
      <c r="I37" s="184"/>
      <c r="J37" s="184"/>
      <c r="K37" s="127"/>
      <c r="L37" s="224"/>
      <c r="M37" s="275"/>
      <c r="N37" s="225" t="s">
        <v>44</v>
      </c>
      <c r="O37" s="125"/>
      <c r="P37" s="126"/>
      <c r="Q37" s="127"/>
      <c r="R37" s="184"/>
      <c r="S37" s="184"/>
      <c r="T37" s="184"/>
      <c r="U37" s="184"/>
      <c r="V37" s="209"/>
      <c r="W37" s="211"/>
    </row>
    <row r="38" spans="5:23" ht="20.100000000000001" customHeight="1" thickTop="1" x14ac:dyDescent="0.25">
      <c r="E38" s="209"/>
      <c r="F38" s="210"/>
      <c r="G38" s="185"/>
      <c r="H38" s="184"/>
      <c r="I38" s="184"/>
      <c r="J38" s="184"/>
      <c r="K38" s="128"/>
      <c r="L38" s="135"/>
      <c r="M38" s="277"/>
      <c r="N38" s="227" t="s">
        <v>32</v>
      </c>
      <c r="O38" s="125"/>
      <c r="P38" s="131"/>
      <c r="Q38" s="132"/>
      <c r="R38" s="185"/>
      <c r="S38" s="184"/>
      <c r="T38" s="184"/>
      <c r="U38" s="184"/>
      <c r="V38" s="209"/>
      <c r="W38" s="211"/>
    </row>
    <row r="39" spans="5:23" ht="20.100000000000001" customHeight="1" thickBot="1" x14ac:dyDescent="0.3">
      <c r="E39" s="209"/>
      <c r="F39" s="210"/>
      <c r="G39" s="185"/>
      <c r="H39" s="184"/>
      <c r="I39" s="184"/>
      <c r="J39" s="184"/>
      <c r="K39" s="134"/>
      <c r="L39" s="135"/>
      <c r="M39" s="276"/>
      <c r="N39" s="136" t="str">
        <f>IF(ISBLANK(N40),"",IFERROR(_xlfn.XLOOKUP(N40,'List of Teams'!$B$2:$B$65,'List of Teams'!$C$2:$C$65),""))</f>
        <v/>
      </c>
      <c r="O39" s="137"/>
      <c r="P39" s="132"/>
      <c r="Q39" s="132"/>
      <c r="R39" s="185"/>
      <c r="S39" s="184"/>
      <c r="T39" s="184"/>
      <c r="U39" s="184"/>
      <c r="V39" s="209"/>
      <c r="W39" s="211"/>
    </row>
    <row r="40" spans="5:23" ht="20.100000000000001" customHeight="1" thickTop="1" x14ac:dyDescent="0.25">
      <c r="E40" s="209"/>
      <c r="F40" s="210"/>
      <c r="G40" s="185"/>
      <c r="H40" s="184"/>
      <c r="I40" s="184"/>
      <c r="J40" s="184"/>
      <c r="K40" s="134"/>
      <c r="L40" s="132"/>
      <c r="M40" s="273">
        <v>56</v>
      </c>
      <c r="N40" s="117"/>
      <c r="O40" s="138"/>
      <c r="P40" s="132"/>
      <c r="Q40" s="132"/>
      <c r="R40" s="185"/>
      <c r="S40" s="184"/>
      <c r="T40" s="184"/>
      <c r="U40" s="184"/>
      <c r="V40" s="209"/>
      <c r="W40" s="211"/>
    </row>
    <row r="41" spans="5:23" ht="20.100000000000001" customHeight="1" thickBot="1" x14ac:dyDescent="0.3">
      <c r="E41" s="209"/>
      <c r="F41" s="210"/>
      <c r="G41" s="185"/>
      <c r="H41" s="184"/>
      <c r="I41" s="144"/>
      <c r="J41" s="228"/>
      <c r="K41" s="134"/>
      <c r="L41" s="142" t="s">
        <v>109</v>
      </c>
      <c r="M41" s="142"/>
      <c r="N41" s="132"/>
      <c r="O41" s="132"/>
      <c r="P41" s="142" t="s">
        <v>89</v>
      </c>
      <c r="Q41" s="132"/>
      <c r="R41" s="143"/>
      <c r="S41" s="144"/>
      <c r="T41" s="184"/>
      <c r="U41" s="184"/>
      <c r="V41" s="209"/>
      <c r="W41" s="211"/>
    </row>
    <row r="42" spans="5:23" ht="20.100000000000001" customHeight="1" thickTop="1" x14ac:dyDescent="0.25">
      <c r="E42" s="209"/>
      <c r="F42" s="210"/>
      <c r="G42" s="185"/>
      <c r="H42" s="184"/>
      <c r="I42" s="145"/>
      <c r="J42" s="229"/>
      <c r="K42" s="134"/>
      <c r="L42" s="142" t="s">
        <v>32</v>
      </c>
      <c r="M42" s="142"/>
      <c r="N42" s="132"/>
      <c r="O42" s="132"/>
      <c r="P42" s="142" t="s">
        <v>32</v>
      </c>
      <c r="Q42" s="132"/>
      <c r="R42" s="230"/>
      <c r="S42" s="149"/>
      <c r="T42" s="185"/>
      <c r="U42" s="184"/>
      <c r="V42" s="209"/>
      <c r="W42" s="211"/>
    </row>
    <row r="43" spans="5:23" ht="20.100000000000001" customHeight="1" thickBot="1" x14ac:dyDescent="0.3">
      <c r="E43" s="209"/>
      <c r="F43" s="210"/>
      <c r="G43" s="185"/>
      <c r="H43" s="184"/>
      <c r="I43" s="150"/>
      <c r="J43" s="149"/>
      <c r="K43" s="134"/>
      <c r="L43" s="132"/>
      <c r="M43" s="273">
        <v>24</v>
      </c>
      <c r="N43" s="117"/>
      <c r="O43" s="118"/>
      <c r="P43" s="132"/>
      <c r="Q43" s="132"/>
      <c r="R43" s="150"/>
      <c r="S43" s="149"/>
      <c r="T43" s="185"/>
      <c r="U43" s="184"/>
      <c r="V43" s="209"/>
      <c r="W43" s="211"/>
    </row>
    <row r="44" spans="5:23" ht="20.100000000000001" customHeight="1" thickTop="1" x14ac:dyDescent="0.25">
      <c r="E44" s="209"/>
      <c r="F44" s="210"/>
      <c r="G44" s="185"/>
      <c r="H44" s="184"/>
      <c r="I44" s="150"/>
      <c r="J44" s="149"/>
      <c r="K44" s="134"/>
      <c r="L44" s="135"/>
      <c r="M44" s="274"/>
      <c r="N44" s="120" t="str">
        <f>IF(ISBLANK(N43),"",IFERROR(_xlfn.XLOOKUP(N43,'List of Teams'!$B$2:$B$65,'List of Teams'!$C$2:$C$65),""))</f>
        <v/>
      </c>
      <c r="O44" s="121"/>
      <c r="P44" s="132"/>
      <c r="Q44" s="132"/>
      <c r="R44" s="150"/>
      <c r="S44" s="149"/>
      <c r="T44" s="185"/>
      <c r="U44" s="184"/>
      <c r="V44" s="209"/>
      <c r="W44" s="211"/>
    </row>
    <row r="45" spans="5:23" ht="20.100000000000001" customHeight="1" thickBot="1" x14ac:dyDescent="0.3">
      <c r="E45" s="209"/>
      <c r="F45" s="210"/>
      <c r="G45" s="185"/>
      <c r="H45" s="184"/>
      <c r="I45" s="150"/>
      <c r="J45" s="149"/>
      <c r="K45" s="151"/>
      <c r="L45" s="231"/>
      <c r="M45" s="273"/>
      <c r="N45" s="225" t="s">
        <v>45</v>
      </c>
      <c r="O45" s="125"/>
      <c r="P45" s="232"/>
      <c r="Q45" s="153"/>
      <c r="R45" s="150"/>
      <c r="S45" s="149"/>
      <c r="T45" s="185"/>
      <c r="U45" s="184"/>
      <c r="V45" s="209"/>
      <c r="W45" s="211"/>
    </row>
    <row r="46" spans="5:23" ht="20.100000000000001" customHeight="1" thickTop="1" x14ac:dyDescent="0.25">
      <c r="E46" s="209"/>
      <c r="F46" s="210"/>
      <c r="G46" s="185"/>
      <c r="H46" s="184"/>
      <c r="I46" s="150"/>
      <c r="J46" s="149"/>
      <c r="K46" s="154"/>
      <c r="L46" s="233"/>
      <c r="M46" s="275"/>
      <c r="N46" s="227" t="s">
        <v>32</v>
      </c>
      <c r="O46" s="125"/>
      <c r="P46" s="234"/>
      <c r="Q46" s="154"/>
      <c r="R46" s="149"/>
      <c r="S46" s="149"/>
      <c r="T46" s="185"/>
      <c r="U46" s="184"/>
      <c r="V46" s="209"/>
      <c r="W46" s="211"/>
    </row>
    <row r="47" spans="5:23" ht="20.100000000000001" customHeight="1" thickBot="1" x14ac:dyDescent="0.3">
      <c r="E47" s="209"/>
      <c r="F47" s="210"/>
      <c r="G47" s="185"/>
      <c r="H47" s="184"/>
      <c r="I47" s="150"/>
      <c r="J47" s="149"/>
      <c r="K47" s="149"/>
      <c r="L47" s="157"/>
      <c r="M47" s="276"/>
      <c r="N47" s="136" t="str">
        <f>IF(ISBLANK(N48),"",IFERROR(_xlfn.XLOOKUP(N48,'List of Teams'!$B$2:$B$65,'List of Teams'!$C$2:$C$65),""))</f>
        <v/>
      </c>
      <c r="O47" s="137"/>
      <c r="P47" s="149"/>
      <c r="Q47" s="149"/>
      <c r="R47" s="149"/>
      <c r="S47" s="149"/>
      <c r="T47" s="185"/>
      <c r="U47" s="184"/>
      <c r="V47" s="209"/>
      <c r="W47" s="211"/>
    </row>
    <row r="48" spans="5:23" ht="20.100000000000001" customHeight="1" thickTop="1" x14ac:dyDescent="0.25">
      <c r="E48" s="209"/>
      <c r="F48" s="210"/>
      <c r="G48" s="185"/>
      <c r="H48" s="184"/>
      <c r="I48" s="150"/>
      <c r="J48" s="149"/>
      <c r="K48" s="149"/>
      <c r="L48" s="149"/>
      <c r="M48" s="273">
        <v>41</v>
      </c>
      <c r="N48" s="117"/>
      <c r="O48" s="138"/>
      <c r="P48" s="149"/>
      <c r="Q48" s="149"/>
      <c r="R48" s="149"/>
      <c r="S48" s="149"/>
      <c r="T48" s="185"/>
      <c r="U48" s="184"/>
      <c r="V48" s="209"/>
      <c r="W48" s="211"/>
    </row>
    <row r="49" spans="5:23" ht="20.100000000000001" customHeight="1" thickBot="1" x14ac:dyDescent="0.3">
      <c r="E49" s="209"/>
      <c r="F49" s="210"/>
      <c r="G49" s="189"/>
      <c r="H49" s="245"/>
      <c r="I49" s="150"/>
      <c r="J49" s="235" t="s">
        <v>52</v>
      </c>
      <c r="K49" s="149"/>
      <c r="L49" s="149"/>
      <c r="M49" s="149"/>
      <c r="N49" s="149"/>
      <c r="O49" s="149"/>
      <c r="P49" s="149"/>
      <c r="Q49" s="149"/>
      <c r="R49" s="235" t="s">
        <v>84</v>
      </c>
      <c r="S49" s="149"/>
      <c r="T49" s="246"/>
      <c r="U49" s="192"/>
      <c r="V49" s="209"/>
      <c r="W49" s="211"/>
    </row>
    <row r="50" spans="5:23" ht="20.100000000000001" customHeight="1" thickTop="1" x14ac:dyDescent="0.25">
      <c r="E50" s="209"/>
      <c r="F50" s="210"/>
      <c r="G50" s="193"/>
      <c r="H50" s="247"/>
      <c r="I50" s="150"/>
      <c r="J50" s="235" t="s">
        <v>32</v>
      </c>
      <c r="K50" s="149"/>
      <c r="L50" s="149"/>
      <c r="M50" s="149"/>
      <c r="N50" s="149"/>
      <c r="O50" s="149"/>
      <c r="P50" s="149"/>
      <c r="Q50" s="149"/>
      <c r="R50" s="235" t="s">
        <v>32</v>
      </c>
      <c r="S50" s="149"/>
      <c r="T50" s="248"/>
      <c r="U50" s="193"/>
      <c r="V50" s="210"/>
      <c r="W50" s="211"/>
    </row>
    <row r="51" spans="5:23" ht="20.100000000000001" customHeight="1" thickBot="1" x14ac:dyDescent="0.3">
      <c r="E51" s="209"/>
      <c r="F51" s="210"/>
      <c r="G51" s="210"/>
      <c r="H51" s="210"/>
      <c r="I51" s="150"/>
      <c r="J51" s="149"/>
      <c r="K51" s="149"/>
      <c r="L51" s="149"/>
      <c r="M51" s="273">
        <v>25</v>
      </c>
      <c r="N51" s="117"/>
      <c r="O51" s="118"/>
      <c r="P51" s="149"/>
      <c r="Q51" s="149"/>
      <c r="R51" s="149"/>
      <c r="S51" s="149"/>
      <c r="T51" s="209"/>
      <c r="U51" s="210"/>
      <c r="V51" s="210"/>
      <c r="W51" s="211"/>
    </row>
    <row r="52" spans="5:23" ht="20.100000000000001" customHeight="1" thickTop="1" x14ac:dyDescent="0.25">
      <c r="E52" s="209"/>
      <c r="F52" s="210"/>
      <c r="G52" s="210"/>
      <c r="H52" s="210"/>
      <c r="I52" s="150"/>
      <c r="J52" s="149"/>
      <c r="K52" s="149"/>
      <c r="L52" s="157"/>
      <c r="M52" s="274"/>
      <c r="N52" s="120" t="str">
        <f>IF(ISBLANK(N51),"",IFERROR(_xlfn.XLOOKUP(N51,'List of Teams'!$B$2:$B$65,'List of Teams'!$C$2:$C$65),""))</f>
        <v/>
      </c>
      <c r="O52" s="121"/>
      <c r="P52" s="149"/>
      <c r="Q52" s="149"/>
      <c r="R52" s="149"/>
      <c r="S52" s="149"/>
      <c r="T52" s="209"/>
      <c r="U52" s="210"/>
      <c r="V52" s="210"/>
      <c r="W52" s="211"/>
    </row>
    <row r="53" spans="5:23" ht="20.100000000000001" customHeight="1" thickBot="1" x14ac:dyDescent="0.3">
      <c r="E53" s="209"/>
      <c r="F53" s="210"/>
      <c r="G53" s="210"/>
      <c r="H53" s="210"/>
      <c r="I53" s="150"/>
      <c r="J53" s="149"/>
      <c r="K53" s="127"/>
      <c r="L53" s="224"/>
      <c r="M53" s="275"/>
      <c r="N53" s="225" t="s">
        <v>46</v>
      </c>
      <c r="O53" s="125"/>
      <c r="P53" s="126"/>
      <c r="Q53" s="127"/>
      <c r="R53" s="149"/>
      <c r="S53" s="149"/>
      <c r="T53" s="209"/>
      <c r="U53" s="210"/>
      <c r="V53" s="210"/>
      <c r="W53" s="211"/>
    </row>
    <row r="54" spans="5:23" ht="20.100000000000001" customHeight="1" thickTop="1" x14ac:dyDescent="0.25">
      <c r="E54" s="209"/>
      <c r="F54" s="210"/>
      <c r="G54" s="210"/>
      <c r="H54" s="210"/>
      <c r="I54" s="150"/>
      <c r="J54" s="149"/>
      <c r="K54" s="128"/>
      <c r="L54" s="226"/>
      <c r="M54" s="273"/>
      <c r="N54" s="227" t="s">
        <v>32</v>
      </c>
      <c r="O54" s="125"/>
      <c r="P54" s="131"/>
      <c r="Q54" s="132"/>
      <c r="R54" s="150"/>
      <c r="S54" s="149"/>
      <c r="T54" s="209"/>
      <c r="U54" s="210"/>
      <c r="V54" s="210"/>
      <c r="W54" s="211"/>
    </row>
    <row r="55" spans="5:23" ht="20.100000000000001" customHeight="1" thickBot="1" x14ac:dyDescent="0.3">
      <c r="E55" s="209"/>
      <c r="F55" s="210"/>
      <c r="G55" s="210"/>
      <c r="H55" s="210"/>
      <c r="I55" s="150"/>
      <c r="J55" s="149"/>
      <c r="K55" s="134"/>
      <c r="L55" s="135"/>
      <c r="M55" s="276"/>
      <c r="N55" s="136" t="str">
        <f>IF(ISBLANK(N56),"",IFERROR(_xlfn.XLOOKUP(N56,'List of Teams'!$B$2:$B$65,'List of Teams'!$C$2:$C$65),""))</f>
        <v/>
      </c>
      <c r="O55" s="137"/>
      <c r="P55" s="132"/>
      <c r="Q55" s="132"/>
      <c r="R55" s="150"/>
      <c r="S55" s="149"/>
      <c r="T55" s="209"/>
      <c r="U55" s="210"/>
      <c r="V55" s="210"/>
      <c r="W55" s="211"/>
    </row>
    <row r="56" spans="5:23" ht="20.100000000000001" customHeight="1" thickTop="1" x14ac:dyDescent="0.25">
      <c r="E56" s="209"/>
      <c r="F56" s="210"/>
      <c r="G56" s="210"/>
      <c r="H56" s="210"/>
      <c r="I56" s="150"/>
      <c r="J56" s="149"/>
      <c r="K56" s="134"/>
      <c r="L56" s="132"/>
      <c r="M56" s="273">
        <v>40</v>
      </c>
      <c r="N56" s="117"/>
      <c r="O56" s="138"/>
      <c r="P56" s="132"/>
      <c r="Q56" s="132"/>
      <c r="R56" s="150"/>
      <c r="S56" s="149"/>
      <c r="T56" s="209"/>
      <c r="U56" s="210"/>
      <c r="V56" s="210"/>
      <c r="W56" s="211"/>
    </row>
    <row r="57" spans="5:23" ht="20.100000000000001" customHeight="1" thickBot="1" x14ac:dyDescent="0.3">
      <c r="E57" s="209"/>
      <c r="F57" s="210"/>
      <c r="G57" s="210"/>
      <c r="H57" s="210"/>
      <c r="I57" s="163"/>
      <c r="J57" s="239"/>
      <c r="K57" s="134"/>
      <c r="L57" s="142" t="s">
        <v>110</v>
      </c>
      <c r="M57" s="142"/>
      <c r="N57" s="132"/>
      <c r="O57" s="132"/>
      <c r="P57" s="142" t="s">
        <v>90</v>
      </c>
      <c r="Q57" s="132"/>
      <c r="R57" s="240"/>
      <c r="S57" s="166"/>
      <c r="T57" s="209"/>
      <c r="U57" s="210"/>
      <c r="V57" s="210"/>
      <c r="W57" s="211"/>
    </row>
    <row r="58" spans="5:23" ht="20.100000000000001" customHeight="1" thickTop="1" x14ac:dyDescent="0.25">
      <c r="E58" s="209"/>
      <c r="F58" s="210"/>
      <c r="G58" s="210"/>
      <c r="H58" s="210"/>
      <c r="I58" s="167"/>
      <c r="J58" s="241"/>
      <c r="K58" s="134"/>
      <c r="L58" s="142" t="s">
        <v>32</v>
      </c>
      <c r="M58" s="142"/>
      <c r="N58" s="132"/>
      <c r="O58" s="132"/>
      <c r="P58" s="142" t="s">
        <v>32</v>
      </c>
      <c r="Q58" s="132"/>
      <c r="R58" s="242"/>
      <c r="S58" s="167"/>
      <c r="T58" s="210"/>
      <c r="U58" s="210"/>
      <c r="V58" s="210"/>
      <c r="W58" s="211"/>
    </row>
    <row r="59" spans="5:23" ht="20.100000000000001" customHeight="1" thickBot="1" x14ac:dyDescent="0.3">
      <c r="E59" s="209"/>
      <c r="F59" s="210"/>
      <c r="G59" s="210"/>
      <c r="H59" s="210"/>
      <c r="I59" s="210"/>
      <c r="J59" s="210"/>
      <c r="K59" s="134"/>
      <c r="L59" s="132"/>
      <c r="M59" s="273">
        <v>8</v>
      </c>
      <c r="N59" s="117"/>
      <c r="O59" s="118"/>
      <c r="P59" s="132"/>
      <c r="Q59" s="132"/>
      <c r="R59" s="209"/>
      <c r="S59" s="210"/>
      <c r="T59" s="210"/>
      <c r="U59" s="210"/>
      <c r="V59" s="210"/>
      <c r="W59" s="211"/>
    </row>
    <row r="60" spans="5:23" ht="20.100000000000001" customHeight="1" thickTop="1" x14ac:dyDescent="0.25">
      <c r="E60" s="209"/>
      <c r="F60" s="210"/>
      <c r="G60" s="210"/>
      <c r="H60" s="210"/>
      <c r="I60" s="210"/>
      <c r="J60" s="210"/>
      <c r="K60" s="134"/>
      <c r="L60" s="135"/>
      <c r="M60" s="274"/>
      <c r="N60" s="120" t="str">
        <f>IF(ISBLANK(N59),"",IFERROR(_xlfn.XLOOKUP(N59,'List of Teams'!$B$2:$B$65,'List of Teams'!$C$2:$C$65),""))</f>
        <v/>
      </c>
      <c r="O60" s="121"/>
      <c r="P60" s="132"/>
      <c r="Q60" s="132"/>
      <c r="R60" s="209"/>
      <c r="S60" s="210"/>
      <c r="T60" s="210"/>
      <c r="U60" s="210"/>
      <c r="V60" s="210"/>
      <c r="W60" s="211"/>
    </row>
    <row r="61" spans="5:23" ht="20.100000000000001" customHeight="1" thickBot="1" x14ac:dyDescent="0.3">
      <c r="E61" s="209"/>
      <c r="F61" s="210"/>
      <c r="G61" s="210"/>
      <c r="H61" s="210"/>
      <c r="I61" s="210"/>
      <c r="J61" s="210"/>
      <c r="K61" s="151"/>
      <c r="L61" s="231"/>
      <c r="M61" s="273"/>
      <c r="N61" s="225" t="s">
        <v>47</v>
      </c>
      <c r="O61" s="125"/>
      <c r="P61" s="232"/>
      <c r="Q61" s="153"/>
      <c r="R61" s="209"/>
      <c r="S61" s="210"/>
      <c r="T61" s="210"/>
      <c r="U61" s="210"/>
      <c r="V61" s="210"/>
      <c r="W61" s="211"/>
    </row>
    <row r="62" spans="5:23" ht="20.100000000000001" customHeight="1" thickTop="1" x14ac:dyDescent="0.25">
      <c r="E62" s="209"/>
      <c r="F62" s="210"/>
      <c r="G62" s="210"/>
      <c r="H62" s="210"/>
      <c r="I62" s="210"/>
      <c r="J62" s="210"/>
      <c r="K62" s="154"/>
      <c r="L62" s="233"/>
      <c r="M62" s="275"/>
      <c r="N62" s="227" t="s">
        <v>32</v>
      </c>
      <c r="O62" s="125"/>
      <c r="P62" s="234"/>
      <c r="Q62" s="154"/>
      <c r="R62" s="210"/>
      <c r="S62" s="210"/>
      <c r="T62" s="210"/>
      <c r="U62" s="210"/>
      <c r="V62" s="210"/>
      <c r="W62" s="211"/>
    </row>
    <row r="63" spans="5:23" ht="20.100000000000001" customHeight="1" thickBot="1" x14ac:dyDescent="0.3">
      <c r="E63" s="209"/>
      <c r="F63" s="210"/>
      <c r="G63" s="210"/>
      <c r="H63" s="210"/>
      <c r="I63" s="210"/>
      <c r="J63" s="210"/>
      <c r="K63" s="210"/>
      <c r="L63" s="211"/>
      <c r="M63" s="276"/>
      <c r="N63" s="136" t="str">
        <f>IF(ISBLANK(N64),"",IFERROR(_xlfn.XLOOKUP(N64,'List of Teams'!$B$2:$B$65,'List of Teams'!$C$2:$C$65),""))</f>
        <v/>
      </c>
      <c r="O63" s="137"/>
      <c r="P63" s="210"/>
      <c r="Q63" s="210"/>
      <c r="R63" s="210"/>
      <c r="S63" s="210"/>
      <c r="T63" s="210"/>
      <c r="U63" s="210"/>
      <c r="V63" s="210"/>
      <c r="W63" s="211"/>
    </row>
    <row r="64" spans="5:23" ht="20.100000000000001" customHeight="1" thickTop="1" x14ac:dyDescent="0.25">
      <c r="E64" s="209"/>
      <c r="F64" s="210"/>
      <c r="G64" s="210"/>
      <c r="H64" s="210"/>
      <c r="I64" s="210"/>
      <c r="J64" s="210"/>
      <c r="K64" s="210"/>
      <c r="L64" s="210"/>
      <c r="M64" s="273">
        <v>57</v>
      </c>
      <c r="N64" s="117"/>
      <c r="O64" s="138"/>
      <c r="P64" s="210"/>
      <c r="Q64" s="210"/>
      <c r="R64" s="210"/>
      <c r="S64" s="210"/>
      <c r="T64" s="210"/>
      <c r="U64" s="210"/>
      <c r="V64" s="210"/>
      <c r="W64" s="211"/>
    </row>
    <row r="65" spans="3:25" ht="20.100000000000001" customHeight="1" thickBot="1" x14ac:dyDescent="0.3">
      <c r="C65" s="249"/>
      <c r="D65" s="250"/>
      <c r="E65" s="209"/>
      <c r="F65" s="251" t="s">
        <v>115</v>
      </c>
      <c r="G65" s="210"/>
      <c r="H65" s="210"/>
      <c r="I65" s="210"/>
      <c r="J65" s="210"/>
      <c r="K65" s="210"/>
      <c r="L65" s="210"/>
      <c r="M65" s="210"/>
      <c r="N65" s="210"/>
      <c r="O65" s="210"/>
      <c r="P65" s="210"/>
      <c r="Q65" s="210"/>
      <c r="R65" s="210"/>
      <c r="S65" s="210"/>
      <c r="T65" s="210"/>
      <c r="U65" s="210"/>
      <c r="V65" s="251" t="s">
        <v>116</v>
      </c>
      <c r="W65" s="211"/>
      <c r="X65" s="252"/>
      <c r="Y65" s="249"/>
    </row>
    <row r="66" spans="3:25" ht="20.100000000000001" customHeight="1" thickTop="1" x14ac:dyDescent="0.25">
      <c r="C66" s="253"/>
      <c r="D66" s="254"/>
      <c r="E66" s="209"/>
      <c r="F66" s="251" t="s">
        <v>32</v>
      </c>
      <c r="G66" s="210"/>
      <c r="H66" s="210"/>
      <c r="I66" s="210"/>
      <c r="J66" s="210"/>
      <c r="K66" s="210"/>
      <c r="L66" s="210"/>
      <c r="M66" s="210"/>
      <c r="N66" s="210"/>
      <c r="O66" s="210"/>
      <c r="P66" s="210"/>
      <c r="Q66" s="210"/>
      <c r="R66" s="210"/>
      <c r="S66" s="210"/>
      <c r="T66" s="210"/>
      <c r="U66" s="210"/>
      <c r="V66" s="251" t="s">
        <v>32</v>
      </c>
      <c r="W66" s="211"/>
      <c r="X66" s="254"/>
      <c r="Y66" s="255"/>
    </row>
    <row r="67" spans="3:25" ht="20.100000000000001" customHeight="1" thickBot="1" x14ac:dyDescent="0.3">
      <c r="C67" s="256"/>
      <c r="D67" s="254"/>
      <c r="E67" s="209"/>
      <c r="F67" s="210"/>
      <c r="G67" s="210"/>
      <c r="H67" s="210"/>
      <c r="I67" s="210"/>
      <c r="J67" s="210"/>
      <c r="K67" s="210"/>
      <c r="L67" s="210"/>
      <c r="M67" s="273">
        <v>4</v>
      </c>
      <c r="N67" s="117"/>
      <c r="O67" s="118"/>
      <c r="P67" s="210"/>
      <c r="Q67" s="210"/>
      <c r="R67" s="210"/>
      <c r="S67" s="210"/>
      <c r="T67" s="210"/>
      <c r="U67" s="210"/>
      <c r="V67" s="210"/>
      <c r="W67" s="211"/>
      <c r="X67" s="254"/>
      <c r="Y67" s="257"/>
    </row>
    <row r="68" spans="3:25" ht="20.100000000000001" customHeight="1" thickTop="1" x14ac:dyDescent="0.25">
      <c r="C68" s="256"/>
      <c r="D68" s="254"/>
      <c r="E68" s="209"/>
      <c r="F68" s="210"/>
      <c r="G68" s="210"/>
      <c r="H68" s="210"/>
      <c r="I68" s="210"/>
      <c r="J68" s="210"/>
      <c r="K68" s="210"/>
      <c r="L68" s="211"/>
      <c r="M68" s="274"/>
      <c r="N68" s="120" t="str">
        <f>IF(ISBLANK(N67),"",IFERROR(_xlfn.XLOOKUP(N67,'List of Teams'!$B$2:$B$65,'List of Teams'!$C$2:$C$65),""))</f>
        <v/>
      </c>
      <c r="O68" s="121"/>
      <c r="P68" s="210"/>
      <c r="Q68" s="210"/>
      <c r="R68" s="210"/>
      <c r="S68" s="210"/>
      <c r="T68" s="210"/>
      <c r="U68" s="210"/>
      <c r="V68" s="210"/>
      <c r="W68" s="211"/>
      <c r="X68" s="254"/>
      <c r="Y68" s="257"/>
    </row>
    <row r="69" spans="3:25" ht="20.100000000000001" customHeight="1" thickBot="1" x14ac:dyDescent="0.3">
      <c r="C69" s="256"/>
      <c r="D69" s="254"/>
      <c r="E69" s="209"/>
      <c r="F69" s="210"/>
      <c r="G69" s="210"/>
      <c r="H69" s="210"/>
      <c r="I69" s="210"/>
      <c r="J69" s="210"/>
      <c r="K69" s="127"/>
      <c r="L69" s="224"/>
      <c r="M69" s="275"/>
      <c r="N69" s="225" t="s">
        <v>95</v>
      </c>
      <c r="O69" s="125"/>
      <c r="P69" s="126"/>
      <c r="Q69" s="127"/>
      <c r="R69" s="210"/>
      <c r="S69" s="210"/>
      <c r="T69" s="210"/>
      <c r="U69" s="210"/>
      <c r="V69" s="210"/>
      <c r="W69" s="211"/>
      <c r="X69" s="254"/>
      <c r="Y69" s="257"/>
    </row>
    <row r="70" spans="3:25" ht="20.100000000000001" customHeight="1" thickTop="1" x14ac:dyDescent="0.25">
      <c r="C70" s="256"/>
      <c r="D70" s="254"/>
      <c r="E70" s="209"/>
      <c r="F70" s="210"/>
      <c r="G70" s="210"/>
      <c r="H70" s="210"/>
      <c r="I70" s="210"/>
      <c r="J70" s="210"/>
      <c r="K70" s="128"/>
      <c r="L70" s="226"/>
      <c r="M70" s="273"/>
      <c r="N70" s="227" t="s">
        <v>32</v>
      </c>
      <c r="O70" s="125"/>
      <c r="P70" s="131"/>
      <c r="Q70" s="132"/>
      <c r="R70" s="209"/>
      <c r="S70" s="210"/>
      <c r="T70" s="210"/>
      <c r="U70" s="210"/>
      <c r="V70" s="210"/>
      <c r="W70" s="211"/>
      <c r="X70" s="254"/>
      <c r="Y70" s="257"/>
    </row>
    <row r="71" spans="3:25" ht="20.100000000000001" customHeight="1" thickBot="1" x14ac:dyDescent="0.3">
      <c r="C71" s="256"/>
      <c r="D71" s="254"/>
      <c r="E71" s="209"/>
      <c r="F71" s="210"/>
      <c r="G71" s="210"/>
      <c r="H71" s="210"/>
      <c r="I71" s="210"/>
      <c r="J71" s="210"/>
      <c r="K71" s="134"/>
      <c r="L71" s="135"/>
      <c r="M71" s="276"/>
      <c r="N71" s="136" t="str">
        <f>IF(ISBLANK(N72),"",IFERROR(_xlfn.XLOOKUP(N72,'List of Teams'!$B$2:$B$65,'List of Teams'!$C$2:$C$65),""))</f>
        <v/>
      </c>
      <c r="O71" s="137"/>
      <c r="P71" s="132"/>
      <c r="Q71" s="132"/>
      <c r="R71" s="209"/>
      <c r="S71" s="210"/>
      <c r="T71" s="210"/>
      <c r="U71" s="210"/>
      <c r="V71" s="210"/>
      <c r="W71" s="211"/>
      <c r="X71" s="254"/>
      <c r="Y71" s="257"/>
    </row>
    <row r="72" spans="3:25" ht="20.100000000000001" customHeight="1" thickTop="1" x14ac:dyDescent="0.25">
      <c r="C72" s="256"/>
      <c r="D72" s="254"/>
      <c r="E72" s="209"/>
      <c r="F72" s="210"/>
      <c r="G72" s="210"/>
      <c r="H72" s="210"/>
      <c r="I72" s="210"/>
      <c r="J72" s="210"/>
      <c r="K72" s="134"/>
      <c r="L72" s="132"/>
      <c r="M72" s="273">
        <v>61</v>
      </c>
      <c r="N72" s="117"/>
      <c r="O72" s="138"/>
      <c r="P72" s="132"/>
      <c r="Q72" s="132"/>
      <c r="R72" s="209"/>
      <c r="S72" s="210"/>
      <c r="T72" s="210"/>
      <c r="U72" s="210"/>
      <c r="V72" s="210"/>
      <c r="W72" s="211"/>
      <c r="X72" s="254"/>
      <c r="Y72" s="257"/>
    </row>
    <row r="73" spans="3:25" ht="20.100000000000001" customHeight="1" thickBot="1" x14ac:dyDescent="0.3">
      <c r="C73" s="256"/>
      <c r="D73" s="254"/>
      <c r="E73" s="209"/>
      <c r="F73" s="210"/>
      <c r="G73" s="210"/>
      <c r="H73" s="210"/>
      <c r="I73" s="144"/>
      <c r="J73" s="228"/>
      <c r="K73" s="134"/>
      <c r="L73" s="142" t="s">
        <v>111</v>
      </c>
      <c r="M73" s="142"/>
      <c r="N73" s="132"/>
      <c r="O73" s="132"/>
      <c r="P73" s="142" t="s">
        <v>91</v>
      </c>
      <c r="Q73" s="132"/>
      <c r="R73" s="143"/>
      <c r="S73" s="144"/>
      <c r="T73" s="210"/>
      <c r="U73" s="210"/>
      <c r="V73" s="210"/>
      <c r="W73" s="211"/>
      <c r="X73" s="254"/>
      <c r="Y73" s="257"/>
    </row>
    <row r="74" spans="3:25" ht="20.100000000000001" customHeight="1" thickTop="1" x14ac:dyDescent="0.25">
      <c r="C74" s="256"/>
      <c r="D74" s="254"/>
      <c r="E74" s="209"/>
      <c r="F74" s="210"/>
      <c r="G74" s="210"/>
      <c r="H74" s="210"/>
      <c r="I74" s="145"/>
      <c r="J74" s="229"/>
      <c r="K74" s="134"/>
      <c r="L74" s="142" t="s">
        <v>32</v>
      </c>
      <c r="M74" s="142"/>
      <c r="N74" s="132"/>
      <c r="O74" s="132"/>
      <c r="P74" s="142" t="s">
        <v>32</v>
      </c>
      <c r="Q74" s="132"/>
      <c r="R74" s="230"/>
      <c r="S74" s="149"/>
      <c r="T74" s="209"/>
      <c r="U74" s="210"/>
      <c r="V74" s="210"/>
      <c r="W74" s="211"/>
      <c r="X74" s="254"/>
      <c r="Y74" s="257"/>
    </row>
    <row r="75" spans="3:25" ht="20.100000000000001" customHeight="1" thickBot="1" x14ac:dyDescent="0.3">
      <c r="C75" s="256"/>
      <c r="D75" s="254"/>
      <c r="E75" s="209"/>
      <c r="F75" s="210"/>
      <c r="G75" s="210"/>
      <c r="H75" s="210"/>
      <c r="I75" s="150"/>
      <c r="J75" s="149"/>
      <c r="K75" s="134"/>
      <c r="L75" s="132"/>
      <c r="M75" s="273">
        <v>29</v>
      </c>
      <c r="N75" s="117"/>
      <c r="O75" s="118"/>
      <c r="P75" s="132"/>
      <c r="Q75" s="132"/>
      <c r="R75" s="150"/>
      <c r="S75" s="149"/>
      <c r="T75" s="209"/>
      <c r="U75" s="210"/>
      <c r="V75" s="210"/>
      <c r="W75" s="211"/>
      <c r="X75" s="254"/>
      <c r="Y75" s="257"/>
    </row>
    <row r="76" spans="3:25" ht="20.100000000000001" customHeight="1" thickTop="1" x14ac:dyDescent="0.25">
      <c r="C76" s="256"/>
      <c r="D76" s="254"/>
      <c r="E76" s="209"/>
      <c r="F76" s="210"/>
      <c r="G76" s="210"/>
      <c r="H76" s="210"/>
      <c r="I76" s="150"/>
      <c r="J76" s="149"/>
      <c r="K76" s="134"/>
      <c r="L76" s="135"/>
      <c r="M76" s="274"/>
      <c r="N76" s="120" t="str">
        <f>IF(ISBLANK(N75),"",IFERROR(_xlfn.XLOOKUP(N75,'List of Teams'!$B$2:$B$65,'List of Teams'!$C$2:$C$65),""))</f>
        <v/>
      </c>
      <c r="O76" s="121"/>
      <c r="P76" s="132"/>
      <c r="Q76" s="132"/>
      <c r="R76" s="150"/>
      <c r="S76" s="149"/>
      <c r="T76" s="209"/>
      <c r="U76" s="210"/>
      <c r="V76" s="210"/>
      <c r="W76" s="211"/>
      <c r="X76" s="254"/>
      <c r="Y76" s="257"/>
    </row>
    <row r="77" spans="3:25" ht="20.100000000000001" customHeight="1" thickBot="1" x14ac:dyDescent="0.3">
      <c r="C77" s="256"/>
      <c r="D77" s="254"/>
      <c r="E77" s="209"/>
      <c r="F77" s="210"/>
      <c r="G77" s="210"/>
      <c r="H77" s="210"/>
      <c r="I77" s="150"/>
      <c r="J77" s="149"/>
      <c r="K77" s="151"/>
      <c r="L77" s="231"/>
      <c r="M77" s="273"/>
      <c r="N77" s="225" t="s">
        <v>96</v>
      </c>
      <c r="O77" s="125"/>
      <c r="P77" s="232"/>
      <c r="Q77" s="153"/>
      <c r="R77" s="150"/>
      <c r="S77" s="149"/>
      <c r="T77" s="209"/>
      <c r="U77" s="210"/>
      <c r="V77" s="210"/>
      <c r="W77" s="211"/>
      <c r="X77" s="254"/>
      <c r="Y77" s="257"/>
    </row>
    <row r="78" spans="3:25" ht="20.100000000000001" customHeight="1" thickTop="1" x14ac:dyDescent="0.25">
      <c r="C78" s="256"/>
      <c r="D78" s="254"/>
      <c r="E78" s="209"/>
      <c r="F78" s="210"/>
      <c r="G78" s="210"/>
      <c r="H78" s="210"/>
      <c r="I78" s="150"/>
      <c r="J78" s="149"/>
      <c r="K78" s="154"/>
      <c r="L78" s="233"/>
      <c r="M78" s="275"/>
      <c r="N78" s="227" t="s">
        <v>32</v>
      </c>
      <c r="O78" s="125"/>
      <c r="P78" s="234"/>
      <c r="Q78" s="154"/>
      <c r="R78" s="149"/>
      <c r="S78" s="149"/>
      <c r="T78" s="209"/>
      <c r="U78" s="210"/>
      <c r="V78" s="210"/>
      <c r="W78" s="211"/>
      <c r="X78" s="254"/>
      <c r="Y78" s="257"/>
    </row>
    <row r="79" spans="3:25" ht="20.100000000000001" customHeight="1" thickBot="1" x14ac:dyDescent="0.3">
      <c r="C79" s="256"/>
      <c r="D79" s="254"/>
      <c r="E79" s="209"/>
      <c r="F79" s="210"/>
      <c r="G79" s="210"/>
      <c r="H79" s="210"/>
      <c r="I79" s="150"/>
      <c r="J79" s="149"/>
      <c r="K79" s="149"/>
      <c r="L79" s="157"/>
      <c r="M79" s="276"/>
      <c r="N79" s="136" t="str">
        <f>IF(ISBLANK(N80),"",IFERROR(_xlfn.XLOOKUP(N80,'List of Teams'!$B$2:$B$65,'List of Teams'!$C$2:$C$65),""))</f>
        <v/>
      </c>
      <c r="O79" s="137"/>
      <c r="P79" s="149"/>
      <c r="Q79" s="149"/>
      <c r="R79" s="149"/>
      <c r="S79" s="149"/>
      <c r="T79" s="209"/>
      <c r="U79" s="210"/>
      <c r="V79" s="210"/>
      <c r="W79" s="211"/>
      <c r="X79" s="254"/>
      <c r="Y79" s="257"/>
    </row>
    <row r="80" spans="3:25" ht="20.100000000000001" customHeight="1" thickTop="1" x14ac:dyDescent="0.25">
      <c r="C80" s="256"/>
      <c r="D80" s="254"/>
      <c r="E80" s="209"/>
      <c r="F80" s="210"/>
      <c r="G80" s="210"/>
      <c r="H80" s="210"/>
      <c r="I80" s="150"/>
      <c r="J80" s="235" t="s">
        <v>51</v>
      </c>
      <c r="K80" s="149"/>
      <c r="L80" s="149"/>
      <c r="M80" s="273">
        <v>36</v>
      </c>
      <c r="N80" s="117"/>
      <c r="O80" s="138"/>
      <c r="P80" s="149"/>
      <c r="Q80" s="149"/>
      <c r="R80" s="235" t="s">
        <v>85</v>
      </c>
      <c r="S80" s="149"/>
      <c r="T80" s="209"/>
      <c r="U80" s="210"/>
      <c r="V80" s="210"/>
      <c r="W80" s="211"/>
      <c r="X80" s="254"/>
      <c r="Y80" s="257"/>
    </row>
    <row r="81" spans="3:25" ht="20.100000000000001" customHeight="1" thickBot="1" x14ac:dyDescent="0.3">
      <c r="C81" s="256"/>
      <c r="D81" s="254"/>
      <c r="E81" s="209"/>
      <c r="F81" s="210"/>
      <c r="G81" s="178"/>
      <c r="H81" s="236"/>
      <c r="I81" s="150"/>
      <c r="J81" s="235" t="s">
        <v>32</v>
      </c>
      <c r="K81" s="149"/>
      <c r="L81" s="149"/>
      <c r="M81" s="149"/>
      <c r="N81" s="149"/>
      <c r="O81" s="149"/>
      <c r="P81" s="149"/>
      <c r="Q81" s="149"/>
      <c r="R81" s="235" t="s">
        <v>32</v>
      </c>
      <c r="S81" s="149"/>
      <c r="T81" s="180"/>
      <c r="U81" s="178"/>
      <c r="V81" s="210"/>
      <c r="W81" s="211"/>
      <c r="X81" s="254"/>
      <c r="Y81" s="257"/>
    </row>
    <row r="82" spans="3:25" ht="20.100000000000001" customHeight="1" thickTop="1" x14ac:dyDescent="0.25">
      <c r="C82" s="256"/>
      <c r="D82" s="254"/>
      <c r="E82" s="209"/>
      <c r="F82" s="210"/>
      <c r="G82" s="181"/>
      <c r="H82" s="237"/>
      <c r="I82" s="150"/>
      <c r="J82" s="149"/>
      <c r="K82" s="149"/>
      <c r="L82" s="149"/>
      <c r="M82" s="149"/>
      <c r="N82" s="149"/>
      <c r="O82" s="149"/>
      <c r="P82" s="149"/>
      <c r="Q82" s="149"/>
      <c r="R82" s="149"/>
      <c r="S82" s="149"/>
      <c r="T82" s="238"/>
      <c r="U82" s="184"/>
      <c r="V82" s="209"/>
      <c r="W82" s="211"/>
      <c r="X82" s="254"/>
      <c r="Y82" s="257"/>
    </row>
    <row r="83" spans="3:25" ht="20.100000000000001" customHeight="1" thickBot="1" x14ac:dyDescent="0.3">
      <c r="C83" s="256"/>
      <c r="D83" s="254"/>
      <c r="E83" s="209"/>
      <c r="F83" s="210"/>
      <c r="G83" s="185"/>
      <c r="H83" s="184"/>
      <c r="I83" s="150"/>
      <c r="J83" s="149"/>
      <c r="K83" s="149"/>
      <c r="L83" s="149"/>
      <c r="M83" s="273">
        <v>20</v>
      </c>
      <c r="N83" s="117"/>
      <c r="O83" s="118"/>
      <c r="P83" s="149"/>
      <c r="Q83" s="149"/>
      <c r="R83" s="149"/>
      <c r="S83" s="149"/>
      <c r="T83" s="185"/>
      <c r="U83" s="184"/>
      <c r="V83" s="209"/>
      <c r="W83" s="211"/>
      <c r="X83" s="254"/>
      <c r="Y83" s="257"/>
    </row>
    <row r="84" spans="3:25" ht="20.100000000000001" customHeight="1" thickTop="1" x14ac:dyDescent="0.25">
      <c r="C84" s="256"/>
      <c r="D84" s="254"/>
      <c r="E84" s="209"/>
      <c r="F84" s="210"/>
      <c r="G84" s="185"/>
      <c r="H84" s="184"/>
      <c r="I84" s="150"/>
      <c r="J84" s="149"/>
      <c r="K84" s="149"/>
      <c r="L84" s="157"/>
      <c r="M84" s="274"/>
      <c r="N84" s="120" t="str">
        <f>IF(ISBLANK(N83),"",IFERROR(_xlfn.XLOOKUP(N83,'List of Teams'!$B$2:$B$65,'List of Teams'!$C$2:$C$65),""))</f>
        <v/>
      </c>
      <c r="O84" s="121"/>
      <c r="P84" s="149"/>
      <c r="Q84" s="149"/>
      <c r="R84" s="149"/>
      <c r="S84" s="149"/>
      <c r="T84" s="185"/>
      <c r="U84" s="184"/>
      <c r="V84" s="209"/>
      <c r="W84" s="211"/>
      <c r="X84" s="254"/>
      <c r="Y84" s="257"/>
    </row>
    <row r="85" spans="3:25" ht="20.100000000000001" customHeight="1" thickBot="1" x14ac:dyDescent="0.3">
      <c r="C85" s="256"/>
      <c r="D85" s="254"/>
      <c r="E85" s="209"/>
      <c r="F85" s="210"/>
      <c r="G85" s="185"/>
      <c r="H85" s="184"/>
      <c r="I85" s="150"/>
      <c r="J85" s="149"/>
      <c r="K85" s="127"/>
      <c r="L85" s="224"/>
      <c r="M85" s="275"/>
      <c r="N85" s="225" t="s">
        <v>97</v>
      </c>
      <c r="O85" s="125"/>
      <c r="P85" s="126"/>
      <c r="Q85" s="127"/>
      <c r="R85" s="149"/>
      <c r="S85" s="149"/>
      <c r="T85" s="185"/>
      <c r="U85" s="184"/>
      <c r="V85" s="209"/>
      <c r="W85" s="211"/>
      <c r="X85" s="254"/>
      <c r="Y85" s="257"/>
    </row>
    <row r="86" spans="3:25" ht="20.100000000000001" customHeight="1" thickTop="1" x14ac:dyDescent="0.25">
      <c r="C86" s="256"/>
      <c r="D86" s="254"/>
      <c r="E86" s="209"/>
      <c r="F86" s="210"/>
      <c r="G86" s="185"/>
      <c r="H86" s="184"/>
      <c r="I86" s="150"/>
      <c r="J86" s="149"/>
      <c r="K86" s="128"/>
      <c r="L86" s="226"/>
      <c r="M86" s="273"/>
      <c r="N86" s="227" t="s">
        <v>32</v>
      </c>
      <c r="O86" s="125"/>
      <c r="P86" s="131"/>
      <c r="Q86" s="132"/>
      <c r="R86" s="150"/>
      <c r="S86" s="149"/>
      <c r="T86" s="185"/>
      <c r="U86" s="184"/>
      <c r="V86" s="209"/>
      <c r="W86" s="211"/>
      <c r="X86" s="254"/>
      <c r="Y86" s="257"/>
    </row>
    <row r="87" spans="3:25" ht="20.100000000000001" customHeight="1" thickBot="1" x14ac:dyDescent="0.3">
      <c r="C87" s="256"/>
      <c r="D87" s="254"/>
      <c r="E87" s="209"/>
      <c r="F87" s="210"/>
      <c r="G87" s="185"/>
      <c r="H87" s="184"/>
      <c r="I87" s="150"/>
      <c r="J87" s="149"/>
      <c r="K87" s="134"/>
      <c r="L87" s="135"/>
      <c r="M87" s="276"/>
      <c r="N87" s="136" t="str">
        <f>IF(ISBLANK(N88),"",IFERROR(_xlfn.XLOOKUP(N88,'List of Teams'!$B$2:$B$65,'List of Teams'!$C$2:$C$65),""))</f>
        <v/>
      </c>
      <c r="O87" s="137"/>
      <c r="P87" s="132"/>
      <c r="Q87" s="132"/>
      <c r="R87" s="150"/>
      <c r="S87" s="149"/>
      <c r="T87" s="185"/>
      <c r="U87" s="184"/>
      <c r="V87" s="209"/>
      <c r="W87" s="211"/>
      <c r="X87" s="254"/>
      <c r="Y87" s="257"/>
    </row>
    <row r="88" spans="3:25" ht="20.100000000000001" customHeight="1" thickTop="1" x14ac:dyDescent="0.25">
      <c r="C88" s="256"/>
      <c r="D88" s="254"/>
      <c r="E88" s="209"/>
      <c r="F88" s="210"/>
      <c r="G88" s="185"/>
      <c r="H88" s="184"/>
      <c r="I88" s="150"/>
      <c r="J88" s="149"/>
      <c r="K88" s="134"/>
      <c r="L88" s="132"/>
      <c r="M88" s="273">
        <v>45</v>
      </c>
      <c r="N88" s="117"/>
      <c r="O88" s="138"/>
      <c r="P88" s="132"/>
      <c r="Q88" s="132"/>
      <c r="R88" s="150"/>
      <c r="S88" s="149"/>
      <c r="T88" s="185"/>
      <c r="U88" s="184"/>
      <c r="V88" s="209"/>
      <c r="W88" s="211"/>
      <c r="X88" s="254"/>
      <c r="Y88" s="257"/>
    </row>
    <row r="89" spans="3:25" ht="20.100000000000001" customHeight="1" thickBot="1" x14ac:dyDescent="0.3">
      <c r="C89" s="256"/>
      <c r="D89" s="254"/>
      <c r="E89" s="209"/>
      <c r="F89" s="210"/>
      <c r="G89" s="185"/>
      <c r="H89" s="184"/>
      <c r="I89" s="163"/>
      <c r="J89" s="239"/>
      <c r="K89" s="134"/>
      <c r="L89" s="142" t="s">
        <v>112</v>
      </c>
      <c r="M89" s="142"/>
      <c r="N89" s="132"/>
      <c r="O89" s="132"/>
      <c r="P89" s="142" t="s">
        <v>92</v>
      </c>
      <c r="Q89" s="132"/>
      <c r="R89" s="240"/>
      <c r="S89" s="166"/>
      <c r="T89" s="185"/>
      <c r="U89" s="184"/>
      <c r="V89" s="209"/>
      <c r="W89" s="211"/>
      <c r="X89" s="254"/>
      <c r="Y89" s="257"/>
    </row>
    <row r="90" spans="3:25" ht="20.100000000000001" customHeight="1" thickTop="1" x14ac:dyDescent="0.25">
      <c r="C90" s="256"/>
      <c r="D90" s="254"/>
      <c r="E90" s="209"/>
      <c r="F90" s="210"/>
      <c r="G90" s="185"/>
      <c r="H90" s="184"/>
      <c r="I90" s="167"/>
      <c r="J90" s="241"/>
      <c r="K90" s="134"/>
      <c r="L90" s="142" t="s">
        <v>32</v>
      </c>
      <c r="M90" s="142"/>
      <c r="N90" s="132"/>
      <c r="O90" s="132"/>
      <c r="P90" s="142" t="s">
        <v>32</v>
      </c>
      <c r="Q90" s="132"/>
      <c r="R90" s="242"/>
      <c r="S90" s="167"/>
      <c r="T90" s="184"/>
      <c r="U90" s="184"/>
      <c r="V90" s="209"/>
      <c r="W90" s="211"/>
      <c r="X90" s="254"/>
      <c r="Y90" s="257"/>
    </row>
    <row r="91" spans="3:25" ht="20.100000000000001" customHeight="1" thickBot="1" x14ac:dyDescent="0.3">
      <c r="C91" s="256"/>
      <c r="D91" s="254"/>
      <c r="E91" s="209"/>
      <c r="F91" s="210"/>
      <c r="G91" s="185"/>
      <c r="H91" s="184"/>
      <c r="I91" s="184"/>
      <c r="J91" s="184"/>
      <c r="K91" s="134"/>
      <c r="L91" s="132"/>
      <c r="M91" s="273">
        <v>13</v>
      </c>
      <c r="N91" s="117"/>
      <c r="O91" s="118"/>
      <c r="P91" s="132"/>
      <c r="Q91" s="132"/>
      <c r="R91" s="185"/>
      <c r="S91" s="184"/>
      <c r="T91" s="184"/>
      <c r="U91" s="184"/>
      <c r="V91" s="209"/>
      <c r="W91" s="211"/>
      <c r="X91" s="254"/>
      <c r="Y91" s="257"/>
    </row>
    <row r="92" spans="3:25" ht="20.100000000000001" customHeight="1" thickTop="1" x14ac:dyDescent="0.25">
      <c r="C92" s="256"/>
      <c r="D92" s="254"/>
      <c r="E92" s="209"/>
      <c r="F92" s="210"/>
      <c r="G92" s="185"/>
      <c r="H92" s="184"/>
      <c r="I92" s="184"/>
      <c r="J92" s="184"/>
      <c r="K92" s="134"/>
      <c r="L92" s="135"/>
      <c r="M92" s="274"/>
      <c r="N92" s="120" t="str">
        <f>IF(ISBLANK(N91),"",IFERROR(_xlfn.XLOOKUP(N91,'List of Teams'!$B$2:$B$65,'List of Teams'!$C$2:$C$65),""))</f>
        <v/>
      </c>
      <c r="O92" s="121"/>
      <c r="P92" s="132"/>
      <c r="Q92" s="132"/>
      <c r="R92" s="185"/>
      <c r="S92" s="184"/>
      <c r="T92" s="184"/>
      <c r="U92" s="184"/>
      <c r="V92" s="209"/>
      <c r="W92" s="211"/>
      <c r="X92" s="254"/>
      <c r="Y92" s="257"/>
    </row>
    <row r="93" spans="3:25" ht="20.100000000000001" customHeight="1" thickBot="1" x14ac:dyDescent="0.3">
      <c r="C93" s="256"/>
      <c r="D93" s="254"/>
      <c r="E93" s="209"/>
      <c r="F93" s="210"/>
      <c r="G93" s="185"/>
      <c r="H93" s="184"/>
      <c r="I93" s="184"/>
      <c r="J93" s="184"/>
      <c r="K93" s="151"/>
      <c r="L93" s="231"/>
      <c r="M93" s="273"/>
      <c r="N93" s="225" t="s">
        <v>98</v>
      </c>
      <c r="O93" s="125"/>
      <c r="P93" s="232"/>
      <c r="Q93" s="153"/>
      <c r="R93" s="185"/>
      <c r="S93" s="184"/>
      <c r="T93" s="184"/>
      <c r="U93" s="184"/>
      <c r="V93" s="209"/>
      <c r="W93" s="211"/>
      <c r="X93" s="254"/>
      <c r="Y93" s="257"/>
    </row>
    <row r="94" spans="3:25" ht="20.100000000000001" customHeight="1" thickTop="1" x14ac:dyDescent="0.25">
      <c r="C94" s="256"/>
      <c r="D94" s="254"/>
      <c r="E94" s="209"/>
      <c r="F94" s="210"/>
      <c r="G94" s="185"/>
      <c r="H94" s="184"/>
      <c r="I94" s="184"/>
      <c r="J94" s="184"/>
      <c r="K94" s="154"/>
      <c r="L94" s="233"/>
      <c r="M94" s="275"/>
      <c r="N94" s="227" t="s">
        <v>32</v>
      </c>
      <c r="O94" s="125"/>
      <c r="P94" s="234"/>
      <c r="Q94" s="154"/>
      <c r="R94" s="184"/>
      <c r="S94" s="184"/>
      <c r="T94" s="184"/>
      <c r="U94" s="184"/>
      <c r="V94" s="209"/>
      <c r="W94" s="211"/>
      <c r="X94" s="254"/>
      <c r="Y94" s="257"/>
    </row>
    <row r="95" spans="3:25" ht="20.100000000000001" customHeight="1" thickBot="1" x14ac:dyDescent="0.3">
      <c r="C95" s="256"/>
      <c r="D95" s="254"/>
      <c r="E95" s="209"/>
      <c r="F95" s="210"/>
      <c r="G95" s="185"/>
      <c r="H95" s="184"/>
      <c r="I95" s="184"/>
      <c r="J95" s="184"/>
      <c r="K95" s="184"/>
      <c r="L95" s="186"/>
      <c r="M95" s="276"/>
      <c r="N95" s="136" t="str">
        <f>IF(ISBLANK(N96),"",IFERROR(_xlfn.XLOOKUP(N96,'List of Teams'!$B$2:$B$65,'List of Teams'!$C$2:$C$65),""))</f>
        <v/>
      </c>
      <c r="O95" s="137"/>
      <c r="P95" s="184"/>
      <c r="Q95" s="184"/>
      <c r="R95" s="184"/>
      <c r="S95" s="184"/>
      <c r="T95" s="184"/>
      <c r="U95" s="184"/>
      <c r="V95" s="209"/>
      <c r="W95" s="211"/>
      <c r="X95" s="254"/>
      <c r="Y95" s="257"/>
    </row>
    <row r="96" spans="3:25" ht="20.100000000000001" customHeight="1" thickTop="1" thickBot="1" x14ac:dyDescent="0.3">
      <c r="C96" s="256"/>
      <c r="D96" s="254"/>
      <c r="E96" s="214"/>
      <c r="F96" s="210"/>
      <c r="G96" s="185"/>
      <c r="H96" s="184"/>
      <c r="I96" s="184"/>
      <c r="J96" s="184"/>
      <c r="K96" s="184"/>
      <c r="L96" s="184"/>
      <c r="M96" s="273">
        <v>52</v>
      </c>
      <c r="N96" s="117"/>
      <c r="O96" s="138"/>
      <c r="P96" s="184"/>
      <c r="Q96" s="184"/>
      <c r="R96" s="184"/>
      <c r="S96" s="184"/>
      <c r="T96" s="184"/>
      <c r="U96" s="184"/>
      <c r="V96" s="209"/>
      <c r="W96" s="211"/>
      <c r="X96" s="254"/>
      <c r="Y96" s="257"/>
    </row>
    <row r="97" spans="3:25" ht="20.100000000000001" customHeight="1" thickTop="1" thickBot="1" x14ac:dyDescent="0.3">
      <c r="C97" s="256"/>
      <c r="D97" s="254"/>
      <c r="E97" s="218"/>
      <c r="F97" s="258"/>
      <c r="G97" s="185"/>
      <c r="H97" s="244" t="s">
        <v>54</v>
      </c>
      <c r="I97" s="184"/>
      <c r="J97" s="184"/>
      <c r="K97" s="184"/>
      <c r="L97" s="184"/>
      <c r="M97" s="184"/>
      <c r="N97" s="184"/>
      <c r="O97" s="184"/>
      <c r="P97" s="184"/>
      <c r="Q97" s="184"/>
      <c r="R97" s="184"/>
      <c r="S97" s="184"/>
      <c r="T97" s="244" t="s">
        <v>35</v>
      </c>
      <c r="U97" s="184"/>
      <c r="V97" s="214"/>
      <c r="W97" s="217"/>
      <c r="X97" s="254"/>
      <c r="Y97" s="257"/>
    </row>
    <row r="98" spans="3:25" ht="20.100000000000001" customHeight="1" thickTop="1" x14ac:dyDescent="0.25">
      <c r="C98" s="256"/>
      <c r="D98" s="254"/>
      <c r="E98" s="254"/>
      <c r="F98" s="254"/>
      <c r="G98" s="185"/>
      <c r="H98" s="244" t="s">
        <v>32</v>
      </c>
      <c r="I98" s="184"/>
      <c r="J98" s="184"/>
      <c r="K98" s="184"/>
      <c r="L98" s="184"/>
      <c r="M98" s="184"/>
      <c r="N98" s="184"/>
      <c r="O98" s="184"/>
      <c r="P98" s="184"/>
      <c r="Q98" s="184"/>
      <c r="R98" s="184"/>
      <c r="S98" s="184"/>
      <c r="T98" s="244" t="s">
        <v>32</v>
      </c>
      <c r="U98" s="184"/>
      <c r="V98" s="209"/>
      <c r="W98" s="218"/>
      <c r="X98" s="254"/>
      <c r="Y98" s="257"/>
    </row>
    <row r="99" spans="3:25" ht="20.100000000000001" customHeight="1" thickBot="1" x14ac:dyDescent="0.3">
      <c r="C99" s="256"/>
      <c r="D99" s="254"/>
      <c r="E99" s="254"/>
      <c r="F99" s="254"/>
      <c r="G99" s="185"/>
      <c r="H99" s="184"/>
      <c r="I99" s="184"/>
      <c r="J99" s="184"/>
      <c r="K99" s="184"/>
      <c r="L99" s="184"/>
      <c r="M99" s="273">
        <v>12</v>
      </c>
      <c r="N99" s="117"/>
      <c r="O99" s="118"/>
      <c r="P99" s="184"/>
      <c r="Q99" s="184"/>
      <c r="R99" s="184"/>
      <c r="S99" s="184"/>
      <c r="T99" s="184"/>
      <c r="U99" s="184"/>
      <c r="V99" s="256"/>
      <c r="W99" s="254"/>
      <c r="X99" s="254"/>
      <c r="Y99" s="257"/>
    </row>
    <row r="100" spans="3:25" ht="20.100000000000001" customHeight="1" thickTop="1" x14ac:dyDescent="0.25">
      <c r="C100" s="256"/>
      <c r="D100" s="254"/>
      <c r="E100" s="254"/>
      <c r="F100" s="254"/>
      <c r="G100" s="185"/>
      <c r="H100" s="184"/>
      <c r="I100" s="184"/>
      <c r="J100" s="184"/>
      <c r="K100" s="184"/>
      <c r="L100" s="186"/>
      <c r="M100" s="274"/>
      <c r="N100" s="120" t="str">
        <f>IF(ISBLANK(N99),"",IFERROR(_xlfn.XLOOKUP(N99,'List of Teams'!$B$2:$B$65,'List of Teams'!$C$2:$C$65),""))</f>
        <v/>
      </c>
      <c r="O100" s="121"/>
      <c r="P100" s="184"/>
      <c r="Q100" s="184"/>
      <c r="R100" s="184"/>
      <c r="S100" s="184"/>
      <c r="T100" s="184"/>
      <c r="U100" s="184"/>
      <c r="V100" s="256"/>
      <c r="W100" s="254"/>
      <c r="X100" s="254"/>
      <c r="Y100" s="257"/>
    </row>
    <row r="101" spans="3:25" ht="20.100000000000001" customHeight="1" thickBot="1" x14ac:dyDescent="0.3">
      <c r="C101" s="256"/>
      <c r="D101" s="254"/>
      <c r="E101" s="254"/>
      <c r="F101" s="254"/>
      <c r="G101" s="185"/>
      <c r="H101" s="184"/>
      <c r="I101" s="184"/>
      <c r="J101" s="184"/>
      <c r="K101" s="127"/>
      <c r="L101" s="224"/>
      <c r="M101" s="275"/>
      <c r="N101" s="225" t="s">
        <v>99</v>
      </c>
      <c r="O101" s="125"/>
      <c r="P101" s="126"/>
      <c r="Q101" s="127"/>
      <c r="R101" s="184"/>
      <c r="S101" s="184"/>
      <c r="T101" s="184"/>
      <c r="U101" s="184"/>
      <c r="V101" s="256"/>
      <c r="W101" s="254"/>
      <c r="X101" s="254"/>
      <c r="Y101" s="257"/>
    </row>
    <row r="102" spans="3:25" ht="20.100000000000001" customHeight="1" thickTop="1" x14ac:dyDescent="0.25">
      <c r="C102" s="256"/>
      <c r="D102" s="254"/>
      <c r="E102" s="254"/>
      <c r="F102" s="254"/>
      <c r="G102" s="185"/>
      <c r="H102" s="184"/>
      <c r="I102" s="184"/>
      <c r="J102" s="184"/>
      <c r="K102" s="128"/>
      <c r="L102" s="135"/>
      <c r="M102" s="277"/>
      <c r="N102" s="227" t="s">
        <v>32</v>
      </c>
      <c r="O102" s="125"/>
      <c r="P102" s="131"/>
      <c r="Q102" s="132"/>
      <c r="R102" s="185"/>
      <c r="S102" s="184"/>
      <c r="T102" s="184"/>
      <c r="U102" s="184"/>
      <c r="V102" s="256"/>
      <c r="W102" s="254"/>
      <c r="X102" s="254"/>
      <c r="Y102" s="257"/>
    </row>
    <row r="103" spans="3:25" ht="20.100000000000001" customHeight="1" thickBot="1" x14ac:dyDescent="0.3">
      <c r="C103" s="256"/>
      <c r="D103" s="254"/>
      <c r="E103" s="254"/>
      <c r="F103" s="254"/>
      <c r="G103" s="185"/>
      <c r="H103" s="184"/>
      <c r="I103" s="184"/>
      <c r="J103" s="184"/>
      <c r="K103" s="134"/>
      <c r="L103" s="135"/>
      <c r="M103" s="276"/>
      <c r="N103" s="136" t="str">
        <f>IF(ISBLANK(N104),"",IFERROR(_xlfn.XLOOKUP(N104,'List of Teams'!$B$2:$B$65,'List of Teams'!$C$2:$C$65),""))</f>
        <v/>
      </c>
      <c r="O103" s="137"/>
      <c r="P103" s="132"/>
      <c r="Q103" s="132"/>
      <c r="R103" s="185"/>
      <c r="S103" s="184"/>
      <c r="T103" s="184"/>
      <c r="U103" s="184"/>
      <c r="V103" s="256"/>
      <c r="W103" s="254"/>
      <c r="X103" s="254"/>
      <c r="Y103" s="257"/>
    </row>
    <row r="104" spans="3:25" ht="20.100000000000001" customHeight="1" thickTop="1" x14ac:dyDescent="0.25">
      <c r="C104" s="256"/>
      <c r="D104" s="254"/>
      <c r="E104" s="254"/>
      <c r="F104" s="254"/>
      <c r="G104" s="185"/>
      <c r="H104" s="184"/>
      <c r="I104" s="184"/>
      <c r="J104" s="184"/>
      <c r="K104" s="134"/>
      <c r="L104" s="132"/>
      <c r="M104" s="273">
        <v>53</v>
      </c>
      <c r="N104" s="117"/>
      <c r="O104" s="138"/>
      <c r="P104" s="132"/>
      <c r="Q104" s="132"/>
      <c r="R104" s="185"/>
      <c r="S104" s="184"/>
      <c r="T104" s="184"/>
      <c r="U104" s="184"/>
      <c r="V104" s="256"/>
      <c r="W104" s="254"/>
      <c r="X104" s="254"/>
      <c r="Y104" s="257"/>
    </row>
    <row r="105" spans="3:25" ht="20.100000000000001" customHeight="1" thickBot="1" x14ac:dyDescent="0.3">
      <c r="C105" s="256"/>
      <c r="D105" s="254"/>
      <c r="E105" s="254"/>
      <c r="F105" s="254"/>
      <c r="G105" s="185"/>
      <c r="H105" s="184"/>
      <c r="I105" s="144"/>
      <c r="J105" s="228"/>
      <c r="K105" s="134"/>
      <c r="L105" s="142" t="s">
        <v>113</v>
      </c>
      <c r="M105" s="142"/>
      <c r="N105" s="132"/>
      <c r="O105" s="132"/>
      <c r="P105" s="142" t="s">
        <v>93</v>
      </c>
      <c r="Q105" s="132"/>
      <c r="R105" s="143"/>
      <c r="S105" s="144"/>
      <c r="T105" s="184"/>
      <c r="U105" s="184"/>
      <c r="V105" s="256"/>
      <c r="W105" s="254"/>
      <c r="X105" s="254"/>
      <c r="Y105" s="257"/>
    </row>
    <row r="106" spans="3:25" ht="20.100000000000001" customHeight="1" thickTop="1" x14ac:dyDescent="0.25">
      <c r="C106" s="256"/>
      <c r="D106" s="254"/>
      <c r="E106" s="254"/>
      <c r="F106" s="254"/>
      <c r="G106" s="185"/>
      <c r="H106" s="184"/>
      <c r="I106" s="145"/>
      <c r="J106" s="229"/>
      <c r="K106" s="134"/>
      <c r="L106" s="142" t="s">
        <v>32</v>
      </c>
      <c r="M106" s="142"/>
      <c r="N106" s="132"/>
      <c r="O106" s="132"/>
      <c r="P106" s="142" t="s">
        <v>32</v>
      </c>
      <c r="Q106" s="132"/>
      <c r="R106" s="230"/>
      <c r="S106" s="149"/>
      <c r="T106" s="185"/>
      <c r="U106" s="184"/>
      <c r="V106" s="256"/>
      <c r="W106" s="254"/>
      <c r="X106" s="254"/>
      <c r="Y106" s="257"/>
    </row>
    <row r="107" spans="3:25" ht="20.100000000000001" customHeight="1" thickBot="1" x14ac:dyDescent="0.3">
      <c r="C107" s="256"/>
      <c r="D107" s="254"/>
      <c r="E107" s="254"/>
      <c r="F107" s="254"/>
      <c r="G107" s="185"/>
      <c r="H107" s="184"/>
      <c r="I107" s="150"/>
      <c r="J107" s="149"/>
      <c r="K107" s="134"/>
      <c r="L107" s="132"/>
      <c r="M107" s="273">
        <v>21</v>
      </c>
      <c r="N107" s="117"/>
      <c r="O107" s="118"/>
      <c r="P107" s="132"/>
      <c r="Q107" s="132"/>
      <c r="R107" s="150"/>
      <c r="S107" s="149"/>
      <c r="T107" s="185"/>
      <c r="U107" s="184"/>
      <c r="V107" s="256"/>
      <c r="W107" s="254"/>
      <c r="X107" s="254"/>
      <c r="Y107" s="257"/>
    </row>
    <row r="108" spans="3:25" ht="20.100000000000001" customHeight="1" thickTop="1" x14ac:dyDescent="0.25">
      <c r="C108" s="256"/>
      <c r="D108" s="254"/>
      <c r="E108" s="254"/>
      <c r="F108" s="254"/>
      <c r="G108" s="185"/>
      <c r="H108" s="184"/>
      <c r="I108" s="150"/>
      <c r="J108" s="149"/>
      <c r="K108" s="134"/>
      <c r="L108" s="135"/>
      <c r="M108" s="274"/>
      <c r="N108" s="120" t="str">
        <f>IF(ISBLANK(N107),"",IFERROR(_xlfn.XLOOKUP(N107,'List of Teams'!$B$2:$B$65,'List of Teams'!$C$2:$C$65),""))</f>
        <v/>
      </c>
      <c r="O108" s="121"/>
      <c r="P108" s="132"/>
      <c r="Q108" s="132"/>
      <c r="R108" s="150"/>
      <c r="S108" s="149"/>
      <c r="T108" s="185"/>
      <c r="U108" s="184"/>
      <c r="V108" s="256"/>
      <c r="W108" s="254"/>
      <c r="X108" s="254"/>
      <c r="Y108" s="257"/>
    </row>
    <row r="109" spans="3:25" ht="20.100000000000001" customHeight="1" thickBot="1" x14ac:dyDescent="0.3">
      <c r="C109" s="256"/>
      <c r="D109" s="254"/>
      <c r="E109" s="254"/>
      <c r="F109" s="254"/>
      <c r="G109" s="185"/>
      <c r="H109" s="184"/>
      <c r="I109" s="150"/>
      <c r="J109" s="149"/>
      <c r="K109" s="151"/>
      <c r="L109" s="231"/>
      <c r="M109" s="273"/>
      <c r="N109" s="225" t="s">
        <v>100</v>
      </c>
      <c r="O109" s="125"/>
      <c r="P109" s="232"/>
      <c r="Q109" s="153"/>
      <c r="R109" s="150"/>
      <c r="S109" s="149"/>
      <c r="T109" s="185"/>
      <c r="U109" s="184"/>
      <c r="V109" s="256"/>
      <c r="W109" s="254"/>
      <c r="X109" s="254"/>
      <c r="Y109" s="257"/>
    </row>
    <row r="110" spans="3:25" ht="20.100000000000001" customHeight="1" thickTop="1" x14ac:dyDescent="0.25">
      <c r="C110" s="256"/>
      <c r="D110" s="254"/>
      <c r="E110" s="254"/>
      <c r="F110" s="254"/>
      <c r="G110" s="185"/>
      <c r="H110" s="184"/>
      <c r="I110" s="150"/>
      <c r="J110" s="149"/>
      <c r="K110" s="154"/>
      <c r="L110" s="233"/>
      <c r="M110" s="275"/>
      <c r="N110" s="227" t="s">
        <v>32</v>
      </c>
      <c r="O110" s="125"/>
      <c r="P110" s="234"/>
      <c r="Q110" s="154"/>
      <c r="R110" s="149"/>
      <c r="S110" s="149"/>
      <c r="T110" s="185"/>
      <c r="U110" s="184"/>
      <c r="V110" s="256"/>
      <c r="W110" s="254"/>
      <c r="X110" s="254"/>
      <c r="Y110" s="257"/>
    </row>
    <row r="111" spans="3:25" ht="20.100000000000001" customHeight="1" thickBot="1" x14ac:dyDescent="0.3">
      <c r="C111" s="256"/>
      <c r="D111" s="254"/>
      <c r="E111" s="254"/>
      <c r="F111" s="254"/>
      <c r="G111" s="185"/>
      <c r="H111" s="184"/>
      <c r="I111" s="150"/>
      <c r="J111" s="149"/>
      <c r="K111" s="149"/>
      <c r="L111" s="157"/>
      <c r="M111" s="276"/>
      <c r="N111" s="136" t="str">
        <f>IF(ISBLANK(N112),"",IFERROR(_xlfn.XLOOKUP(N112,'List of Teams'!$B$2:$B$65,'List of Teams'!$C$2:$C$65),""))</f>
        <v/>
      </c>
      <c r="O111" s="137"/>
      <c r="P111" s="149"/>
      <c r="Q111" s="149"/>
      <c r="R111" s="149"/>
      <c r="S111" s="149"/>
      <c r="T111" s="185"/>
      <c r="U111" s="184"/>
      <c r="V111" s="256"/>
      <c r="W111" s="254"/>
      <c r="X111" s="254"/>
      <c r="Y111" s="257"/>
    </row>
    <row r="112" spans="3:25" ht="20.100000000000001" customHeight="1" thickTop="1" x14ac:dyDescent="0.25">
      <c r="C112" s="256"/>
      <c r="D112" s="254"/>
      <c r="E112" s="254"/>
      <c r="F112" s="254"/>
      <c r="G112" s="185"/>
      <c r="H112" s="184"/>
      <c r="I112" s="150"/>
      <c r="J112" s="149"/>
      <c r="K112" s="149"/>
      <c r="L112" s="149"/>
      <c r="M112" s="273">
        <v>44</v>
      </c>
      <c r="N112" s="117"/>
      <c r="O112" s="138"/>
      <c r="P112" s="149"/>
      <c r="Q112" s="149"/>
      <c r="R112" s="149"/>
      <c r="S112" s="149"/>
      <c r="T112" s="185"/>
      <c r="U112" s="184"/>
      <c r="V112" s="256"/>
      <c r="W112" s="254"/>
      <c r="X112" s="254"/>
      <c r="Y112" s="257"/>
    </row>
    <row r="113" spans="3:25" ht="20.100000000000001" customHeight="1" thickBot="1" x14ac:dyDescent="0.3">
      <c r="C113" s="256"/>
      <c r="D113" s="254"/>
      <c r="E113" s="254"/>
      <c r="F113" s="254"/>
      <c r="G113" s="189"/>
      <c r="H113" s="245"/>
      <c r="I113" s="150"/>
      <c r="J113" s="235" t="s">
        <v>50</v>
      </c>
      <c r="K113" s="149"/>
      <c r="L113" s="149"/>
      <c r="M113" s="149"/>
      <c r="N113" s="149"/>
      <c r="O113" s="149"/>
      <c r="P113" s="149"/>
      <c r="Q113" s="149"/>
      <c r="R113" s="235" t="s">
        <v>86</v>
      </c>
      <c r="S113" s="149"/>
      <c r="T113" s="246"/>
      <c r="U113" s="192"/>
      <c r="V113" s="256"/>
      <c r="W113" s="254"/>
      <c r="X113" s="254"/>
      <c r="Y113" s="257"/>
    </row>
    <row r="114" spans="3:25" ht="20.100000000000001" customHeight="1" thickTop="1" x14ac:dyDescent="0.25">
      <c r="C114" s="256"/>
      <c r="D114" s="254"/>
      <c r="E114" s="254"/>
      <c r="F114" s="254"/>
      <c r="G114" s="193"/>
      <c r="H114" s="247"/>
      <c r="I114" s="150"/>
      <c r="J114" s="235" t="s">
        <v>32</v>
      </c>
      <c r="K114" s="149"/>
      <c r="L114" s="149"/>
      <c r="M114" s="149"/>
      <c r="N114" s="149"/>
      <c r="O114" s="149"/>
      <c r="P114" s="149"/>
      <c r="Q114" s="149"/>
      <c r="R114" s="235" t="s">
        <v>32</v>
      </c>
      <c r="S114" s="149"/>
      <c r="T114" s="248"/>
      <c r="U114" s="193"/>
      <c r="V114" s="254"/>
      <c r="W114" s="254"/>
      <c r="X114" s="254"/>
      <c r="Y114" s="257"/>
    </row>
    <row r="115" spans="3:25" ht="20.100000000000001" customHeight="1" thickBot="1" x14ac:dyDescent="0.3">
      <c r="C115" s="256"/>
      <c r="D115" s="254"/>
      <c r="E115" s="254"/>
      <c r="F115" s="254"/>
      <c r="G115" s="254"/>
      <c r="H115" s="254"/>
      <c r="I115" s="150"/>
      <c r="J115" s="149"/>
      <c r="K115" s="149"/>
      <c r="L115" s="149"/>
      <c r="M115" s="273">
        <v>28</v>
      </c>
      <c r="N115" s="117"/>
      <c r="O115" s="118"/>
      <c r="P115" s="149"/>
      <c r="Q115" s="149"/>
      <c r="R115" s="149"/>
      <c r="S115" s="149"/>
      <c r="T115" s="256"/>
      <c r="U115" s="254"/>
      <c r="V115" s="254"/>
      <c r="W115" s="254"/>
      <c r="X115" s="254"/>
      <c r="Y115" s="257"/>
    </row>
    <row r="116" spans="3:25" ht="20.100000000000001" customHeight="1" thickTop="1" x14ac:dyDescent="0.25">
      <c r="C116" s="256"/>
      <c r="D116" s="254"/>
      <c r="E116" s="254"/>
      <c r="F116" s="254"/>
      <c r="G116" s="254"/>
      <c r="H116" s="254"/>
      <c r="I116" s="150"/>
      <c r="J116" s="149"/>
      <c r="K116" s="149"/>
      <c r="L116" s="157"/>
      <c r="M116" s="274"/>
      <c r="N116" s="120" t="str">
        <f>IF(ISBLANK(N115),"",IFERROR(_xlfn.XLOOKUP(N115,'List of Teams'!$B$2:$B$65,'List of Teams'!$C$2:$C$65),""))</f>
        <v/>
      </c>
      <c r="O116" s="121"/>
      <c r="P116" s="149"/>
      <c r="Q116" s="149"/>
      <c r="R116" s="149"/>
      <c r="S116" s="149"/>
      <c r="T116" s="256"/>
      <c r="U116" s="254"/>
      <c r="V116" s="254"/>
      <c r="W116" s="254"/>
      <c r="X116" s="254"/>
      <c r="Y116" s="257"/>
    </row>
    <row r="117" spans="3:25" ht="20.100000000000001" customHeight="1" thickBot="1" x14ac:dyDescent="0.3">
      <c r="C117" s="256"/>
      <c r="D117" s="254"/>
      <c r="E117" s="254"/>
      <c r="F117" s="254"/>
      <c r="G117" s="254"/>
      <c r="H117" s="254"/>
      <c r="I117" s="150"/>
      <c r="J117" s="149"/>
      <c r="K117" s="127"/>
      <c r="L117" s="224"/>
      <c r="M117" s="275"/>
      <c r="N117" s="225" t="s">
        <v>101</v>
      </c>
      <c r="O117" s="125"/>
      <c r="P117" s="126"/>
      <c r="Q117" s="127"/>
      <c r="R117" s="149"/>
      <c r="S117" s="149"/>
      <c r="T117" s="256"/>
      <c r="U117" s="254"/>
      <c r="V117" s="254"/>
      <c r="W117" s="254"/>
      <c r="X117" s="254"/>
      <c r="Y117" s="257"/>
    </row>
    <row r="118" spans="3:25" ht="20.100000000000001" customHeight="1" thickTop="1" x14ac:dyDescent="0.25">
      <c r="C118" s="256"/>
      <c r="D118" s="254"/>
      <c r="E118" s="254"/>
      <c r="F118" s="254"/>
      <c r="G118" s="254"/>
      <c r="H118" s="254"/>
      <c r="I118" s="150"/>
      <c r="J118" s="149"/>
      <c r="K118" s="128"/>
      <c r="L118" s="226"/>
      <c r="M118" s="273"/>
      <c r="N118" s="227" t="s">
        <v>32</v>
      </c>
      <c r="O118" s="125"/>
      <c r="P118" s="131"/>
      <c r="Q118" s="132"/>
      <c r="R118" s="150"/>
      <c r="S118" s="149"/>
      <c r="T118" s="256"/>
      <c r="U118" s="254"/>
      <c r="V118" s="254"/>
      <c r="W118" s="254"/>
      <c r="X118" s="254"/>
      <c r="Y118" s="257"/>
    </row>
    <row r="119" spans="3:25" ht="20.100000000000001" customHeight="1" thickBot="1" x14ac:dyDescent="0.3">
      <c r="C119" s="256"/>
      <c r="D119" s="254"/>
      <c r="E119" s="254"/>
      <c r="F119" s="254"/>
      <c r="G119" s="254"/>
      <c r="H119" s="254"/>
      <c r="I119" s="150"/>
      <c r="J119" s="149"/>
      <c r="K119" s="134"/>
      <c r="L119" s="135"/>
      <c r="M119" s="276"/>
      <c r="N119" s="136" t="str">
        <f>IF(ISBLANK(N120),"",IFERROR(_xlfn.XLOOKUP(N120,'List of Teams'!$B$2:$B$65,'List of Teams'!$C$2:$C$65),""))</f>
        <v/>
      </c>
      <c r="O119" s="137"/>
      <c r="P119" s="132"/>
      <c r="Q119" s="132"/>
      <c r="R119" s="150"/>
      <c r="S119" s="149"/>
      <c r="T119" s="256"/>
      <c r="U119" s="254"/>
      <c r="V119" s="254"/>
      <c r="W119" s="254"/>
      <c r="X119" s="254"/>
      <c r="Y119" s="257"/>
    </row>
    <row r="120" spans="3:25" ht="20.100000000000001" customHeight="1" thickTop="1" x14ac:dyDescent="0.25">
      <c r="C120" s="256"/>
      <c r="D120" s="254"/>
      <c r="E120" s="254"/>
      <c r="F120" s="254"/>
      <c r="G120" s="254"/>
      <c r="H120" s="254"/>
      <c r="I120" s="150"/>
      <c r="J120" s="149"/>
      <c r="K120" s="134"/>
      <c r="L120" s="132"/>
      <c r="M120" s="273">
        <v>37</v>
      </c>
      <c r="N120" s="117"/>
      <c r="O120" s="138"/>
      <c r="P120" s="132"/>
      <c r="Q120" s="132"/>
      <c r="R120" s="150"/>
      <c r="S120" s="149"/>
      <c r="T120" s="256"/>
      <c r="U120" s="254"/>
      <c r="V120" s="254"/>
      <c r="W120" s="254"/>
      <c r="X120" s="254"/>
      <c r="Y120" s="257"/>
    </row>
    <row r="121" spans="3:25" ht="20.100000000000001" customHeight="1" thickBot="1" x14ac:dyDescent="0.3">
      <c r="C121" s="256"/>
      <c r="D121" s="254"/>
      <c r="E121" s="254"/>
      <c r="F121" s="254"/>
      <c r="G121" s="254"/>
      <c r="H121" s="254"/>
      <c r="I121" s="163"/>
      <c r="J121" s="239"/>
      <c r="K121" s="134"/>
      <c r="L121" s="142" t="s">
        <v>114</v>
      </c>
      <c r="M121" s="142"/>
      <c r="N121" s="132"/>
      <c r="O121" s="132"/>
      <c r="P121" s="142" t="s">
        <v>94</v>
      </c>
      <c r="Q121" s="132"/>
      <c r="R121" s="240"/>
      <c r="S121" s="166"/>
      <c r="T121" s="256"/>
      <c r="U121" s="254"/>
      <c r="V121" s="254"/>
      <c r="W121" s="254"/>
      <c r="X121" s="254"/>
      <c r="Y121" s="257"/>
    </row>
    <row r="122" spans="3:25" ht="20.100000000000001" customHeight="1" thickTop="1" x14ac:dyDescent="0.25">
      <c r="C122" s="256"/>
      <c r="D122" s="254"/>
      <c r="E122" s="254"/>
      <c r="F122" s="254"/>
      <c r="G122" s="254"/>
      <c r="H122" s="254"/>
      <c r="I122" s="167"/>
      <c r="J122" s="241"/>
      <c r="K122" s="134"/>
      <c r="L122" s="142" t="s">
        <v>32</v>
      </c>
      <c r="M122" s="142"/>
      <c r="N122" s="132"/>
      <c r="O122" s="132"/>
      <c r="P122" s="142" t="s">
        <v>32</v>
      </c>
      <c r="Q122" s="132"/>
      <c r="R122" s="242"/>
      <c r="S122" s="167"/>
      <c r="T122" s="254"/>
      <c r="U122" s="254"/>
      <c r="V122" s="254"/>
      <c r="W122" s="254"/>
      <c r="X122" s="254"/>
      <c r="Y122" s="257"/>
    </row>
    <row r="123" spans="3:25" ht="20.100000000000001" customHeight="1" thickBot="1" x14ac:dyDescent="0.3">
      <c r="C123" s="256"/>
      <c r="D123" s="254"/>
      <c r="E123" s="254"/>
      <c r="F123" s="254"/>
      <c r="G123" s="254"/>
      <c r="H123" s="254"/>
      <c r="I123" s="254"/>
      <c r="J123" s="254"/>
      <c r="K123" s="134"/>
      <c r="L123" s="132"/>
      <c r="M123" s="273">
        <v>5</v>
      </c>
      <c r="N123" s="117"/>
      <c r="O123" s="118"/>
      <c r="P123" s="132"/>
      <c r="Q123" s="132"/>
      <c r="R123" s="256"/>
      <c r="S123" s="254"/>
      <c r="T123" s="254"/>
      <c r="U123" s="254"/>
      <c r="V123" s="254"/>
      <c r="W123" s="254"/>
      <c r="X123" s="254"/>
      <c r="Y123" s="257"/>
    </row>
    <row r="124" spans="3:25" ht="20.100000000000001" customHeight="1" thickTop="1" x14ac:dyDescent="0.25">
      <c r="C124" s="256"/>
      <c r="D124" s="254"/>
      <c r="E124" s="254"/>
      <c r="F124" s="254"/>
      <c r="G124" s="254"/>
      <c r="H124" s="254"/>
      <c r="I124" s="254"/>
      <c r="J124" s="254"/>
      <c r="K124" s="134"/>
      <c r="L124" s="135"/>
      <c r="M124" s="274"/>
      <c r="N124" s="120" t="str">
        <f>IF(ISBLANK(N123),"",IFERROR(_xlfn.XLOOKUP(N123,'List of Teams'!$B$2:$B$65,'List of Teams'!$C$2:$C$65),""))</f>
        <v/>
      </c>
      <c r="O124" s="121"/>
      <c r="P124" s="132"/>
      <c r="Q124" s="132"/>
      <c r="R124" s="256"/>
      <c r="S124" s="254"/>
      <c r="T124" s="254"/>
      <c r="U124" s="254"/>
      <c r="V124" s="254"/>
      <c r="W124" s="254"/>
      <c r="X124" s="254"/>
      <c r="Y124" s="257"/>
    </row>
    <row r="125" spans="3:25" ht="20.100000000000001" customHeight="1" thickBot="1" x14ac:dyDescent="0.3">
      <c r="C125" s="256"/>
      <c r="D125" s="254"/>
      <c r="E125" s="254"/>
      <c r="F125" s="254"/>
      <c r="G125" s="254"/>
      <c r="H125" s="254"/>
      <c r="I125" s="254"/>
      <c r="J125" s="254"/>
      <c r="K125" s="151"/>
      <c r="L125" s="231"/>
      <c r="M125" s="273"/>
      <c r="N125" s="225" t="s">
        <v>102</v>
      </c>
      <c r="O125" s="125"/>
      <c r="P125" s="232"/>
      <c r="Q125" s="153"/>
      <c r="R125" s="256"/>
      <c r="S125" s="254"/>
      <c r="T125" s="254"/>
      <c r="U125" s="254"/>
      <c r="V125" s="254"/>
      <c r="W125" s="254"/>
      <c r="X125" s="254"/>
      <c r="Y125" s="257"/>
    </row>
    <row r="126" spans="3:25" ht="20.100000000000001" customHeight="1" thickTop="1" x14ac:dyDescent="0.25">
      <c r="C126" s="256"/>
      <c r="D126" s="254"/>
      <c r="E126" s="254"/>
      <c r="F126" s="254"/>
      <c r="G126" s="254"/>
      <c r="H126" s="254"/>
      <c r="I126" s="254"/>
      <c r="J126" s="254"/>
      <c r="K126" s="154"/>
      <c r="L126" s="233"/>
      <c r="M126" s="275"/>
      <c r="N126" s="227" t="s">
        <v>32</v>
      </c>
      <c r="O126" s="125"/>
      <c r="P126" s="234"/>
      <c r="Q126" s="154"/>
      <c r="R126" s="254"/>
      <c r="S126" s="254"/>
      <c r="T126" s="254"/>
      <c r="U126" s="254"/>
      <c r="V126" s="254"/>
      <c r="W126" s="254"/>
      <c r="X126" s="254"/>
      <c r="Y126" s="257"/>
    </row>
    <row r="127" spans="3:25" ht="20.100000000000001" customHeight="1" thickBot="1" x14ac:dyDescent="0.3">
      <c r="C127" s="256"/>
      <c r="D127" s="254"/>
      <c r="E127" s="254"/>
      <c r="F127" s="254"/>
      <c r="G127" s="254"/>
      <c r="H127" s="254"/>
      <c r="I127" s="254"/>
      <c r="J127" s="254"/>
      <c r="K127" s="254"/>
      <c r="L127" s="257"/>
      <c r="M127" s="276"/>
      <c r="N127" s="136" t="str">
        <f>IF(ISBLANK(N128),"",IFERROR(_xlfn.XLOOKUP(N128,'List of Teams'!$B$2:$B$65,'List of Teams'!$C$2:$C$65),""))</f>
        <v/>
      </c>
      <c r="O127" s="137"/>
      <c r="P127" s="254"/>
      <c r="Q127" s="254"/>
      <c r="R127" s="254"/>
      <c r="S127" s="254"/>
      <c r="T127" s="254"/>
      <c r="U127" s="254"/>
      <c r="V127" s="254"/>
      <c r="W127" s="254"/>
      <c r="X127" s="254"/>
      <c r="Y127" s="257"/>
    </row>
    <row r="128" spans="3:25" ht="20.100000000000001" customHeight="1" thickTop="1" x14ac:dyDescent="0.25">
      <c r="C128" s="256"/>
      <c r="D128" s="254"/>
      <c r="E128" s="254"/>
      <c r="F128" s="254"/>
      <c r="G128" s="254"/>
      <c r="H128" s="254"/>
      <c r="I128" s="254"/>
      <c r="J128" s="254"/>
      <c r="K128" s="254"/>
      <c r="L128" s="254"/>
      <c r="M128" s="273">
        <v>60</v>
      </c>
      <c r="N128" s="117"/>
      <c r="O128" s="138"/>
      <c r="P128" s="254"/>
      <c r="Q128" s="254"/>
      <c r="R128" s="254"/>
      <c r="S128" s="254"/>
      <c r="T128" s="254"/>
      <c r="U128" s="254"/>
      <c r="V128" s="254"/>
      <c r="W128" s="254"/>
      <c r="X128" s="254"/>
      <c r="Y128" s="257"/>
    </row>
    <row r="129" spans="2:26" ht="20.100000000000001" customHeight="1" thickBot="1" x14ac:dyDescent="0.3">
      <c r="B129" s="250"/>
      <c r="C129" s="256"/>
      <c r="D129" s="254"/>
      <c r="E129" s="254"/>
      <c r="F129" s="254"/>
      <c r="G129" s="254"/>
      <c r="H129" s="254"/>
      <c r="I129" s="254"/>
      <c r="J129" s="254"/>
      <c r="K129" s="254"/>
      <c r="L129" s="254"/>
      <c r="M129" s="254"/>
      <c r="N129" s="254"/>
      <c r="O129" s="254"/>
      <c r="P129" s="254"/>
      <c r="Q129" s="254"/>
      <c r="R129" s="254"/>
      <c r="S129" s="254"/>
      <c r="T129" s="254"/>
      <c r="U129" s="254"/>
      <c r="V129" s="254"/>
      <c r="W129" s="254"/>
      <c r="X129" s="254"/>
      <c r="Y129" s="257"/>
      <c r="Z129" s="252"/>
    </row>
    <row r="130" spans="2:26" ht="20.100000000000001" customHeight="1" thickTop="1" x14ac:dyDescent="0.25">
      <c r="C130" s="256"/>
      <c r="D130" s="254"/>
      <c r="E130" s="254"/>
      <c r="F130" s="254"/>
      <c r="G130" s="254"/>
      <c r="H130" s="254"/>
      <c r="I130" s="254"/>
      <c r="J130" s="254"/>
      <c r="K130" s="254"/>
      <c r="L130" s="254"/>
      <c r="M130" s="254"/>
      <c r="N130" s="254"/>
      <c r="O130" s="254"/>
      <c r="P130" s="254"/>
      <c r="Q130" s="254"/>
      <c r="R130" s="254"/>
      <c r="S130" s="254"/>
      <c r="T130" s="254"/>
      <c r="U130" s="254"/>
      <c r="V130" s="254"/>
      <c r="W130" s="254"/>
      <c r="X130" s="254"/>
      <c r="Y130" s="257"/>
    </row>
    <row r="131" spans="2:26" ht="20.100000000000001" customHeight="1" thickBot="1" x14ac:dyDescent="0.3">
      <c r="C131" s="256"/>
      <c r="D131" s="254"/>
      <c r="E131" s="254"/>
      <c r="F131" s="254"/>
      <c r="G131" s="254"/>
      <c r="H131" s="254"/>
      <c r="I131" s="254"/>
      <c r="J131" s="254"/>
      <c r="K131" s="254"/>
      <c r="L131" s="254"/>
      <c r="M131" s="273">
        <v>2</v>
      </c>
      <c r="N131" s="117"/>
      <c r="O131" s="118"/>
      <c r="P131" s="254"/>
      <c r="Q131" s="254"/>
      <c r="R131" s="254"/>
      <c r="S131" s="254"/>
      <c r="T131" s="254"/>
      <c r="U131" s="254"/>
      <c r="V131" s="254"/>
      <c r="W131" s="254"/>
      <c r="X131" s="254"/>
      <c r="Y131" s="257"/>
    </row>
    <row r="132" spans="2:26" ht="20.100000000000001" customHeight="1" thickTop="1" x14ac:dyDescent="0.25">
      <c r="C132" s="256"/>
      <c r="D132" s="254"/>
      <c r="E132" s="254"/>
      <c r="F132" s="254"/>
      <c r="G132" s="254"/>
      <c r="H132" s="254"/>
      <c r="I132" s="254"/>
      <c r="J132" s="254"/>
      <c r="K132" s="254"/>
      <c r="L132" s="257"/>
      <c r="M132" s="274"/>
      <c r="N132" s="120" t="str">
        <f>IF(ISBLANK(N131),"",IFERROR(_xlfn.XLOOKUP(N131,'List of Teams'!$B$2:$B$65,'List of Teams'!$C$2:$C$65),""))</f>
        <v/>
      </c>
      <c r="O132" s="121"/>
      <c r="P132" s="254"/>
      <c r="Q132" s="254"/>
      <c r="R132" s="254"/>
      <c r="S132" s="254"/>
      <c r="T132" s="254"/>
      <c r="U132" s="254"/>
      <c r="V132" s="254"/>
      <c r="W132" s="254"/>
      <c r="X132" s="254"/>
      <c r="Y132" s="257"/>
    </row>
    <row r="133" spans="2:26" ht="20.100000000000001" customHeight="1" thickBot="1" x14ac:dyDescent="0.3">
      <c r="C133" s="256"/>
      <c r="D133" s="254"/>
      <c r="E133" s="254"/>
      <c r="F133" s="254"/>
      <c r="G133" s="254"/>
      <c r="H133" s="254"/>
      <c r="I133" s="254"/>
      <c r="J133" s="254"/>
      <c r="K133" s="127"/>
      <c r="L133" s="224"/>
      <c r="M133" s="275"/>
      <c r="N133" s="225" t="s">
        <v>40</v>
      </c>
      <c r="O133" s="125"/>
      <c r="P133" s="126"/>
      <c r="Q133" s="127"/>
      <c r="R133" s="254"/>
      <c r="S133" s="254"/>
      <c r="T133" s="254"/>
      <c r="U133" s="254"/>
      <c r="V133" s="254"/>
      <c r="W133" s="254"/>
      <c r="X133" s="254"/>
      <c r="Y133" s="257"/>
    </row>
    <row r="134" spans="2:26" ht="20.100000000000001" customHeight="1" thickTop="1" x14ac:dyDescent="0.25">
      <c r="C134" s="256"/>
      <c r="D134" s="254"/>
      <c r="E134" s="254"/>
      <c r="F134" s="254"/>
      <c r="G134" s="254"/>
      <c r="H134" s="254"/>
      <c r="I134" s="254"/>
      <c r="J134" s="254"/>
      <c r="K134" s="128"/>
      <c r="L134" s="226"/>
      <c r="M134" s="273"/>
      <c r="N134" s="227" t="s">
        <v>32</v>
      </c>
      <c r="O134" s="125"/>
      <c r="P134" s="131"/>
      <c r="Q134" s="132"/>
      <c r="R134" s="256"/>
      <c r="S134" s="254"/>
      <c r="T134" s="254"/>
      <c r="U134" s="254"/>
      <c r="V134" s="254"/>
      <c r="W134" s="254"/>
      <c r="X134" s="254"/>
      <c r="Y134" s="257"/>
    </row>
    <row r="135" spans="2:26" ht="20.100000000000001" customHeight="1" thickBot="1" x14ac:dyDescent="0.3">
      <c r="C135" s="256"/>
      <c r="D135" s="254"/>
      <c r="E135" s="254"/>
      <c r="F135" s="254"/>
      <c r="G135" s="254"/>
      <c r="H135" s="254"/>
      <c r="I135" s="254"/>
      <c r="J135" s="254"/>
      <c r="K135" s="134"/>
      <c r="L135" s="135"/>
      <c r="M135" s="276"/>
      <c r="N135" s="136" t="str">
        <f>IF(ISBLANK(N136),"",IFERROR(_xlfn.XLOOKUP(N136,'List of Teams'!$B$2:$B$65,'List of Teams'!$C$2:$C$65),""))</f>
        <v/>
      </c>
      <c r="O135" s="137"/>
      <c r="P135" s="132"/>
      <c r="Q135" s="132"/>
      <c r="R135" s="256"/>
      <c r="S135" s="254"/>
      <c r="T135" s="254"/>
      <c r="U135" s="254"/>
      <c r="V135" s="254"/>
      <c r="W135" s="254"/>
      <c r="X135" s="254"/>
      <c r="Y135" s="257"/>
    </row>
    <row r="136" spans="2:26" ht="20.100000000000001" customHeight="1" thickTop="1" x14ac:dyDescent="0.25">
      <c r="C136" s="256"/>
      <c r="D136" s="254"/>
      <c r="E136" s="254"/>
      <c r="F136" s="254"/>
      <c r="G136" s="254"/>
      <c r="H136" s="254"/>
      <c r="I136" s="254"/>
      <c r="J136" s="254"/>
      <c r="K136" s="134"/>
      <c r="L136" s="132"/>
      <c r="M136" s="273">
        <v>63</v>
      </c>
      <c r="N136" s="117"/>
      <c r="O136" s="138"/>
      <c r="P136" s="132"/>
      <c r="Q136" s="132"/>
      <c r="R136" s="256"/>
      <c r="S136" s="254"/>
      <c r="T136" s="254"/>
      <c r="U136" s="254"/>
      <c r="V136" s="254"/>
      <c r="W136" s="254"/>
      <c r="X136" s="254"/>
      <c r="Y136" s="257"/>
    </row>
    <row r="137" spans="2:26" ht="20.100000000000001" customHeight="1" thickBot="1" x14ac:dyDescent="0.3">
      <c r="C137" s="256"/>
      <c r="D137" s="254"/>
      <c r="E137" s="254"/>
      <c r="F137" s="254"/>
      <c r="G137" s="254"/>
      <c r="H137" s="254"/>
      <c r="I137" s="144"/>
      <c r="J137" s="228"/>
      <c r="K137" s="134"/>
      <c r="L137" s="142" t="s">
        <v>107</v>
      </c>
      <c r="M137" s="142"/>
      <c r="N137" s="132"/>
      <c r="O137" s="132"/>
      <c r="P137" s="142" t="s">
        <v>87</v>
      </c>
      <c r="Q137" s="132"/>
      <c r="R137" s="143"/>
      <c r="S137" s="144"/>
      <c r="T137" s="254"/>
      <c r="U137" s="254"/>
      <c r="V137" s="254"/>
      <c r="W137" s="254"/>
      <c r="X137" s="254"/>
      <c r="Y137" s="257"/>
    </row>
    <row r="138" spans="2:26" ht="20.100000000000001" customHeight="1" thickTop="1" x14ac:dyDescent="0.25">
      <c r="C138" s="256"/>
      <c r="D138" s="254"/>
      <c r="E138" s="254"/>
      <c r="F138" s="254"/>
      <c r="G138" s="254"/>
      <c r="H138" s="254"/>
      <c r="I138" s="145"/>
      <c r="J138" s="229"/>
      <c r="K138" s="134"/>
      <c r="L138" s="142" t="s">
        <v>32</v>
      </c>
      <c r="M138" s="142"/>
      <c r="N138" s="132"/>
      <c r="O138" s="132"/>
      <c r="P138" s="142" t="s">
        <v>32</v>
      </c>
      <c r="Q138" s="132"/>
      <c r="R138" s="230"/>
      <c r="S138" s="149"/>
      <c r="T138" s="256"/>
      <c r="U138" s="254"/>
      <c r="V138" s="254"/>
      <c r="W138" s="254"/>
      <c r="X138" s="254"/>
      <c r="Y138" s="257"/>
    </row>
    <row r="139" spans="2:26" ht="20.100000000000001" customHeight="1" thickBot="1" x14ac:dyDescent="0.3">
      <c r="C139" s="256"/>
      <c r="D139" s="254"/>
      <c r="E139" s="254"/>
      <c r="F139" s="254"/>
      <c r="G139" s="254"/>
      <c r="H139" s="254"/>
      <c r="I139" s="150"/>
      <c r="J139" s="149"/>
      <c r="K139" s="134"/>
      <c r="L139" s="132"/>
      <c r="M139" s="273">
        <v>31</v>
      </c>
      <c r="N139" s="117"/>
      <c r="O139" s="118"/>
      <c r="P139" s="132"/>
      <c r="Q139" s="132"/>
      <c r="R139" s="150"/>
      <c r="S139" s="149"/>
      <c r="T139" s="256"/>
      <c r="U139" s="254"/>
      <c r="V139" s="254"/>
      <c r="W139" s="254"/>
      <c r="X139" s="254"/>
      <c r="Y139" s="257"/>
    </row>
    <row r="140" spans="2:26" ht="20.100000000000001" customHeight="1" thickTop="1" x14ac:dyDescent="0.25">
      <c r="C140" s="256"/>
      <c r="D140" s="254"/>
      <c r="E140" s="254"/>
      <c r="F140" s="254"/>
      <c r="G140" s="254"/>
      <c r="H140" s="254"/>
      <c r="I140" s="150"/>
      <c r="J140" s="149"/>
      <c r="K140" s="134"/>
      <c r="L140" s="135"/>
      <c r="M140" s="274"/>
      <c r="N140" s="120" t="str">
        <f>IF(ISBLANK(N139),"",IFERROR(_xlfn.XLOOKUP(N139,'List of Teams'!$B$2:$B$65,'List of Teams'!$C$2:$C$65),""))</f>
        <v/>
      </c>
      <c r="O140" s="121"/>
      <c r="P140" s="132"/>
      <c r="Q140" s="132"/>
      <c r="R140" s="150"/>
      <c r="S140" s="149"/>
      <c r="T140" s="256"/>
      <c r="U140" s="254"/>
      <c r="V140" s="254"/>
      <c r="W140" s="254"/>
      <c r="X140" s="254"/>
      <c r="Y140" s="257"/>
    </row>
    <row r="141" spans="2:26" ht="20.100000000000001" customHeight="1" thickBot="1" x14ac:dyDescent="0.3">
      <c r="C141" s="256"/>
      <c r="D141" s="254"/>
      <c r="E141" s="254"/>
      <c r="F141" s="254"/>
      <c r="G141" s="254"/>
      <c r="H141" s="254"/>
      <c r="I141" s="150"/>
      <c r="J141" s="149"/>
      <c r="K141" s="151"/>
      <c r="L141" s="231"/>
      <c r="M141" s="273"/>
      <c r="N141" s="225" t="s">
        <v>41</v>
      </c>
      <c r="O141" s="125"/>
      <c r="P141" s="232"/>
      <c r="Q141" s="153"/>
      <c r="R141" s="150"/>
      <c r="S141" s="149"/>
      <c r="T141" s="256"/>
      <c r="U141" s="254"/>
      <c r="V141" s="254"/>
      <c r="W141" s="254"/>
      <c r="X141" s="254"/>
      <c r="Y141" s="257"/>
    </row>
    <row r="142" spans="2:26" ht="20.100000000000001" customHeight="1" thickTop="1" x14ac:dyDescent="0.25">
      <c r="C142" s="256"/>
      <c r="D142" s="254"/>
      <c r="E142" s="254"/>
      <c r="F142" s="254"/>
      <c r="G142" s="254"/>
      <c r="H142" s="254"/>
      <c r="I142" s="150"/>
      <c r="J142" s="149"/>
      <c r="K142" s="154"/>
      <c r="L142" s="233"/>
      <c r="M142" s="275"/>
      <c r="N142" s="227" t="s">
        <v>32</v>
      </c>
      <c r="O142" s="125"/>
      <c r="P142" s="234"/>
      <c r="Q142" s="154"/>
      <c r="R142" s="149"/>
      <c r="S142" s="149"/>
      <c r="T142" s="256"/>
      <c r="U142" s="254"/>
      <c r="V142" s="254"/>
      <c r="W142" s="254"/>
      <c r="X142" s="254"/>
      <c r="Y142" s="257"/>
    </row>
    <row r="143" spans="2:26" ht="20.100000000000001" customHeight="1" thickBot="1" x14ac:dyDescent="0.3">
      <c r="C143" s="256"/>
      <c r="D143" s="254"/>
      <c r="E143" s="254"/>
      <c r="F143" s="254"/>
      <c r="G143" s="254"/>
      <c r="H143" s="254"/>
      <c r="I143" s="150"/>
      <c r="J143" s="149"/>
      <c r="K143" s="149"/>
      <c r="L143" s="157"/>
      <c r="M143" s="276"/>
      <c r="N143" s="136" t="str">
        <f>IF(ISBLANK(N144),"",IFERROR(_xlfn.XLOOKUP(N144,'List of Teams'!$B$2:$B$65,'List of Teams'!$C$2:$C$65),""))</f>
        <v/>
      </c>
      <c r="O143" s="137"/>
      <c r="P143" s="149"/>
      <c r="Q143" s="149"/>
      <c r="R143" s="149"/>
      <c r="S143" s="149"/>
      <c r="T143" s="256"/>
      <c r="U143" s="254"/>
      <c r="V143" s="254"/>
      <c r="W143" s="254"/>
      <c r="X143" s="254"/>
      <c r="Y143" s="257"/>
    </row>
    <row r="144" spans="2:26" ht="20.100000000000001" customHeight="1" thickTop="1" x14ac:dyDescent="0.25">
      <c r="C144" s="256"/>
      <c r="D144" s="254"/>
      <c r="E144" s="254"/>
      <c r="F144" s="254"/>
      <c r="G144" s="254"/>
      <c r="H144" s="254"/>
      <c r="I144" s="150"/>
      <c r="J144" s="235" t="s">
        <v>49</v>
      </c>
      <c r="K144" s="149"/>
      <c r="L144" s="149"/>
      <c r="M144" s="273">
        <v>34</v>
      </c>
      <c r="N144" s="117"/>
      <c r="O144" s="138"/>
      <c r="P144" s="149"/>
      <c r="Q144" s="149"/>
      <c r="R144" s="235" t="s">
        <v>83</v>
      </c>
      <c r="S144" s="149"/>
      <c r="T144" s="256"/>
      <c r="U144" s="254"/>
      <c r="V144" s="254"/>
      <c r="W144" s="254"/>
      <c r="X144" s="254"/>
      <c r="Y144" s="257"/>
    </row>
    <row r="145" spans="3:25" ht="20.100000000000001" customHeight="1" thickBot="1" x14ac:dyDescent="0.3">
      <c r="C145" s="256"/>
      <c r="D145" s="254"/>
      <c r="E145" s="254"/>
      <c r="F145" s="254"/>
      <c r="G145" s="178"/>
      <c r="H145" s="236"/>
      <c r="I145" s="150"/>
      <c r="J145" s="235" t="s">
        <v>32</v>
      </c>
      <c r="K145" s="149"/>
      <c r="L145" s="149"/>
      <c r="M145" s="149"/>
      <c r="N145" s="149"/>
      <c r="O145" s="149"/>
      <c r="P145" s="149"/>
      <c r="Q145" s="149"/>
      <c r="R145" s="235" t="s">
        <v>32</v>
      </c>
      <c r="S145" s="149"/>
      <c r="T145" s="180"/>
      <c r="U145" s="178"/>
      <c r="V145" s="254"/>
      <c r="W145" s="254"/>
      <c r="X145" s="254"/>
      <c r="Y145" s="257"/>
    </row>
    <row r="146" spans="3:25" ht="20.100000000000001" customHeight="1" thickTop="1" x14ac:dyDescent="0.25">
      <c r="C146" s="256"/>
      <c r="D146" s="254"/>
      <c r="E146" s="254"/>
      <c r="F146" s="254"/>
      <c r="G146" s="181"/>
      <c r="H146" s="237"/>
      <c r="I146" s="150"/>
      <c r="J146" s="149"/>
      <c r="K146" s="149"/>
      <c r="L146" s="149"/>
      <c r="M146" s="149"/>
      <c r="N146" s="149"/>
      <c r="O146" s="149"/>
      <c r="P146" s="149"/>
      <c r="Q146" s="149"/>
      <c r="R146" s="149"/>
      <c r="S146" s="149"/>
      <c r="T146" s="238"/>
      <c r="U146" s="184"/>
      <c r="V146" s="256"/>
      <c r="W146" s="254"/>
      <c r="X146" s="254"/>
      <c r="Y146" s="257"/>
    </row>
    <row r="147" spans="3:25" ht="20.100000000000001" customHeight="1" thickBot="1" x14ac:dyDescent="0.3">
      <c r="C147" s="256"/>
      <c r="D147" s="254"/>
      <c r="E147" s="254"/>
      <c r="F147" s="254"/>
      <c r="G147" s="185"/>
      <c r="H147" s="184"/>
      <c r="I147" s="150"/>
      <c r="J147" s="149"/>
      <c r="K147" s="149"/>
      <c r="L147" s="149"/>
      <c r="M147" s="273">
        <v>18</v>
      </c>
      <c r="N147" s="117"/>
      <c r="O147" s="118"/>
      <c r="P147" s="149"/>
      <c r="Q147" s="149"/>
      <c r="R147" s="149"/>
      <c r="S147" s="149"/>
      <c r="T147" s="185"/>
      <c r="U147" s="184"/>
      <c r="V147" s="256"/>
      <c r="W147" s="254"/>
      <c r="X147" s="254"/>
      <c r="Y147" s="257"/>
    </row>
    <row r="148" spans="3:25" ht="20.100000000000001" customHeight="1" thickTop="1" x14ac:dyDescent="0.25">
      <c r="C148" s="256"/>
      <c r="D148" s="254"/>
      <c r="E148" s="254"/>
      <c r="F148" s="254"/>
      <c r="G148" s="185"/>
      <c r="H148" s="184"/>
      <c r="I148" s="150"/>
      <c r="J148" s="149"/>
      <c r="K148" s="149"/>
      <c r="L148" s="157"/>
      <c r="M148" s="274"/>
      <c r="N148" s="120" t="str">
        <f>IF(ISBLANK(N147),"",IFERROR(_xlfn.XLOOKUP(N147,'List of Teams'!$B$2:$B$65,'List of Teams'!$C$2:$C$65),""))</f>
        <v/>
      </c>
      <c r="O148" s="121"/>
      <c r="P148" s="149"/>
      <c r="Q148" s="149"/>
      <c r="R148" s="149"/>
      <c r="S148" s="149"/>
      <c r="T148" s="185"/>
      <c r="U148" s="184"/>
      <c r="V148" s="256"/>
      <c r="W148" s="254"/>
      <c r="X148" s="254"/>
      <c r="Y148" s="257"/>
    </row>
    <row r="149" spans="3:25" ht="20.100000000000001" customHeight="1" thickBot="1" x14ac:dyDescent="0.3">
      <c r="C149" s="256"/>
      <c r="D149" s="254"/>
      <c r="E149" s="254"/>
      <c r="F149" s="254"/>
      <c r="G149" s="185"/>
      <c r="H149" s="184"/>
      <c r="I149" s="150"/>
      <c r="J149" s="149"/>
      <c r="K149" s="127"/>
      <c r="L149" s="224"/>
      <c r="M149" s="275"/>
      <c r="N149" s="225" t="s">
        <v>42</v>
      </c>
      <c r="O149" s="125"/>
      <c r="P149" s="126"/>
      <c r="Q149" s="127"/>
      <c r="R149" s="149"/>
      <c r="S149" s="149"/>
      <c r="T149" s="185"/>
      <c r="U149" s="184"/>
      <c r="V149" s="256"/>
      <c r="W149" s="254"/>
      <c r="X149" s="254"/>
      <c r="Y149" s="257"/>
    </row>
    <row r="150" spans="3:25" ht="20.100000000000001" customHeight="1" thickTop="1" x14ac:dyDescent="0.25">
      <c r="C150" s="256"/>
      <c r="D150" s="254"/>
      <c r="E150" s="254"/>
      <c r="F150" s="254"/>
      <c r="G150" s="185"/>
      <c r="H150" s="184"/>
      <c r="I150" s="150"/>
      <c r="J150" s="149"/>
      <c r="K150" s="128"/>
      <c r="L150" s="226"/>
      <c r="M150" s="273"/>
      <c r="N150" s="227" t="s">
        <v>32</v>
      </c>
      <c r="O150" s="125"/>
      <c r="P150" s="131"/>
      <c r="Q150" s="132"/>
      <c r="R150" s="150"/>
      <c r="S150" s="149"/>
      <c r="T150" s="185"/>
      <c r="U150" s="184"/>
      <c r="V150" s="256"/>
      <c r="W150" s="254"/>
      <c r="X150" s="254"/>
      <c r="Y150" s="257"/>
    </row>
    <row r="151" spans="3:25" ht="20.100000000000001" customHeight="1" thickBot="1" x14ac:dyDescent="0.3">
      <c r="C151" s="256"/>
      <c r="D151" s="254"/>
      <c r="E151" s="254"/>
      <c r="F151" s="254"/>
      <c r="G151" s="185"/>
      <c r="H151" s="184"/>
      <c r="I151" s="150"/>
      <c r="J151" s="149"/>
      <c r="K151" s="134"/>
      <c r="L151" s="135"/>
      <c r="M151" s="276"/>
      <c r="N151" s="136" t="str">
        <f>IF(ISBLANK(N152),"",IFERROR(_xlfn.XLOOKUP(N152,'List of Teams'!$B$2:$B$65,'List of Teams'!$C$2:$C$65),""))</f>
        <v/>
      </c>
      <c r="O151" s="137"/>
      <c r="P151" s="132"/>
      <c r="Q151" s="132"/>
      <c r="R151" s="150"/>
      <c r="S151" s="149"/>
      <c r="T151" s="185"/>
      <c r="U151" s="184"/>
      <c r="V151" s="256"/>
      <c r="W151" s="254"/>
      <c r="X151" s="254"/>
      <c r="Y151" s="257"/>
    </row>
    <row r="152" spans="3:25" ht="20.100000000000001" customHeight="1" thickTop="1" x14ac:dyDescent="0.25">
      <c r="C152" s="256"/>
      <c r="D152" s="254"/>
      <c r="E152" s="254"/>
      <c r="F152" s="254"/>
      <c r="G152" s="185"/>
      <c r="H152" s="184"/>
      <c r="I152" s="150"/>
      <c r="J152" s="149"/>
      <c r="K152" s="134"/>
      <c r="L152" s="132"/>
      <c r="M152" s="273">
        <v>47</v>
      </c>
      <c r="N152" s="117"/>
      <c r="O152" s="138"/>
      <c r="P152" s="132"/>
      <c r="Q152" s="132"/>
      <c r="R152" s="150"/>
      <c r="S152" s="149"/>
      <c r="T152" s="185"/>
      <c r="U152" s="184"/>
      <c r="V152" s="256"/>
      <c r="W152" s="254"/>
      <c r="X152" s="254"/>
      <c r="Y152" s="257"/>
    </row>
    <row r="153" spans="3:25" ht="20.100000000000001" customHeight="1" thickBot="1" x14ac:dyDescent="0.3">
      <c r="C153" s="256"/>
      <c r="D153" s="254"/>
      <c r="E153" s="254"/>
      <c r="F153" s="254"/>
      <c r="G153" s="185"/>
      <c r="H153" s="184"/>
      <c r="I153" s="163"/>
      <c r="J153" s="239"/>
      <c r="K153" s="134"/>
      <c r="L153" s="142" t="s">
        <v>108</v>
      </c>
      <c r="M153" s="142"/>
      <c r="N153" s="132"/>
      <c r="O153" s="132"/>
      <c r="P153" s="142" t="s">
        <v>88</v>
      </c>
      <c r="Q153" s="132"/>
      <c r="R153" s="240"/>
      <c r="S153" s="166"/>
      <c r="T153" s="185"/>
      <c r="U153" s="184"/>
      <c r="V153" s="256"/>
      <c r="W153" s="254"/>
      <c r="X153" s="254"/>
      <c r="Y153" s="257"/>
    </row>
    <row r="154" spans="3:25" ht="20.100000000000001" customHeight="1" thickTop="1" x14ac:dyDescent="0.25">
      <c r="C154" s="256"/>
      <c r="D154" s="254"/>
      <c r="E154" s="254"/>
      <c r="F154" s="254"/>
      <c r="G154" s="185"/>
      <c r="H154" s="184"/>
      <c r="I154" s="167"/>
      <c r="J154" s="241"/>
      <c r="K154" s="134"/>
      <c r="L154" s="142" t="s">
        <v>32</v>
      </c>
      <c r="M154" s="142"/>
      <c r="N154" s="132"/>
      <c r="O154" s="132"/>
      <c r="P154" s="142" t="s">
        <v>32</v>
      </c>
      <c r="Q154" s="132"/>
      <c r="R154" s="242"/>
      <c r="S154" s="167"/>
      <c r="T154" s="184"/>
      <c r="U154" s="184"/>
      <c r="V154" s="256"/>
      <c r="W154" s="254"/>
      <c r="X154" s="254"/>
      <c r="Y154" s="257"/>
    </row>
    <row r="155" spans="3:25" ht="20.100000000000001" customHeight="1" thickBot="1" x14ac:dyDescent="0.3">
      <c r="C155" s="256"/>
      <c r="D155" s="254"/>
      <c r="E155" s="254"/>
      <c r="F155" s="254"/>
      <c r="G155" s="185"/>
      <c r="H155" s="184"/>
      <c r="I155" s="184"/>
      <c r="J155" s="184"/>
      <c r="K155" s="134"/>
      <c r="L155" s="132"/>
      <c r="M155" s="273">
        <v>15</v>
      </c>
      <c r="N155" s="117"/>
      <c r="O155" s="118"/>
      <c r="P155" s="132"/>
      <c r="Q155" s="132"/>
      <c r="R155" s="185"/>
      <c r="S155" s="184"/>
      <c r="T155" s="184"/>
      <c r="U155" s="184"/>
      <c r="V155" s="256"/>
      <c r="W155" s="254"/>
      <c r="X155" s="254"/>
      <c r="Y155" s="257"/>
    </row>
    <row r="156" spans="3:25" ht="20.100000000000001" customHeight="1" thickTop="1" x14ac:dyDescent="0.25">
      <c r="C156" s="256"/>
      <c r="D156" s="254"/>
      <c r="E156" s="254"/>
      <c r="F156" s="254"/>
      <c r="G156" s="185"/>
      <c r="H156" s="184"/>
      <c r="I156" s="184"/>
      <c r="J156" s="184"/>
      <c r="K156" s="134"/>
      <c r="L156" s="135"/>
      <c r="M156" s="274"/>
      <c r="N156" s="120" t="str">
        <f>IF(ISBLANK(N155),"",IFERROR(_xlfn.XLOOKUP(N155,'List of Teams'!$B$2:$B$65,'List of Teams'!$C$2:$C$65),""))</f>
        <v/>
      </c>
      <c r="O156" s="121"/>
      <c r="P156" s="132"/>
      <c r="Q156" s="132"/>
      <c r="R156" s="185"/>
      <c r="S156" s="184"/>
      <c r="T156" s="184"/>
      <c r="U156" s="184"/>
      <c r="V156" s="256"/>
      <c r="W156" s="254"/>
      <c r="X156" s="254"/>
      <c r="Y156" s="257"/>
    </row>
    <row r="157" spans="3:25" ht="20.100000000000001" customHeight="1" thickBot="1" x14ac:dyDescent="0.3">
      <c r="C157" s="256"/>
      <c r="D157" s="254"/>
      <c r="E157" s="254"/>
      <c r="F157" s="254"/>
      <c r="G157" s="185"/>
      <c r="H157" s="184"/>
      <c r="I157" s="184"/>
      <c r="J157" s="184"/>
      <c r="K157" s="151"/>
      <c r="L157" s="231"/>
      <c r="M157" s="273"/>
      <c r="N157" s="225" t="s">
        <v>43</v>
      </c>
      <c r="O157" s="125"/>
      <c r="P157" s="232"/>
      <c r="Q157" s="153"/>
      <c r="R157" s="185"/>
      <c r="S157" s="184"/>
      <c r="T157" s="184"/>
      <c r="U157" s="184"/>
      <c r="V157" s="256"/>
      <c r="W157" s="254"/>
      <c r="X157" s="254"/>
      <c r="Y157" s="257"/>
    </row>
    <row r="158" spans="3:25" ht="20.100000000000001" customHeight="1" thickTop="1" x14ac:dyDescent="0.25">
      <c r="C158" s="256"/>
      <c r="D158" s="254"/>
      <c r="E158" s="254"/>
      <c r="F158" s="254"/>
      <c r="G158" s="185"/>
      <c r="H158" s="184"/>
      <c r="I158" s="184"/>
      <c r="J158" s="184"/>
      <c r="K158" s="154"/>
      <c r="L158" s="233"/>
      <c r="M158" s="275"/>
      <c r="N158" s="227" t="s">
        <v>32</v>
      </c>
      <c r="O158" s="125"/>
      <c r="P158" s="234"/>
      <c r="Q158" s="154"/>
      <c r="R158" s="184"/>
      <c r="S158" s="184"/>
      <c r="T158" s="184"/>
      <c r="U158" s="184"/>
      <c r="V158" s="256"/>
      <c r="W158" s="254"/>
      <c r="X158" s="254"/>
      <c r="Y158" s="257"/>
    </row>
    <row r="159" spans="3:25" ht="20.100000000000001" customHeight="1" thickBot="1" x14ac:dyDescent="0.3">
      <c r="C159" s="256"/>
      <c r="D159" s="254"/>
      <c r="E159" s="254"/>
      <c r="F159" s="254"/>
      <c r="G159" s="185"/>
      <c r="H159" s="184"/>
      <c r="I159" s="184"/>
      <c r="J159" s="184"/>
      <c r="K159" s="184"/>
      <c r="L159" s="186"/>
      <c r="M159" s="276"/>
      <c r="N159" s="136" t="str">
        <f>IF(ISBLANK(N160),"",IFERROR(_xlfn.XLOOKUP(N160,'List of Teams'!$B$2:$B$65,'List of Teams'!$C$2:$C$65),""))</f>
        <v/>
      </c>
      <c r="O159" s="137"/>
      <c r="P159" s="184"/>
      <c r="Q159" s="184"/>
      <c r="R159" s="184"/>
      <c r="S159" s="184"/>
      <c r="T159" s="184"/>
      <c r="U159" s="184"/>
      <c r="V159" s="256"/>
      <c r="W159" s="254"/>
      <c r="X159" s="254"/>
      <c r="Y159" s="257"/>
    </row>
    <row r="160" spans="3:25" ht="20.100000000000001" customHeight="1" thickTop="1" x14ac:dyDescent="0.25">
      <c r="C160" s="256"/>
      <c r="D160" s="254"/>
      <c r="E160" s="254"/>
      <c r="F160" s="254"/>
      <c r="G160" s="185"/>
      <c r="H160" s="184"/>
      <c r="I160" s="184"/>
      <c r="J160" s="184"/>
      <c r="K160" s="184"/>
      <c r="L160" s="184"/>
      <c r="M160" s="273">
        <v>50</v>
      </c>
      <c r="N160" s="117"/>
      <c r="O160" s="138"/>
      <c r="P160" s="184"/>
      <c r="Q160" s="184"/>
      <c r="R160" s="184"/>
      <c r="S160" s="184"/>
      <c r="T160" s="184"/>
      <c r="U160" s="184"/>
      <c r="V160" s="256"/>
      <c r="W160" s="254"/>
      <c r="X160" s="254"/>
      <c r="Y160" s="257"/>
    </row>
    <row r="161" spans="3:25" ht="20.100000000000001" customHeight="1" thickBot="1" x14ac:dyDescent="0.3">
      <c r="C161" s="256"/>
      <c r="D161" s="254"/>
      <c r="E161" s="202"/>
      <c r="F161" s="243"/>
      <c r="G161" s="185"/>
      <c r="H161" s="244" t="s">
        <v>53</v>
      </c>
      <c r="I161" s="184"/>
      <c r="J161" s="184"/>
      <c r="K161" s="184"/>
      <c r="L161" s="184"/>
      <c r="M161" s="184"/>
      <c r="N161" s="184"/>
      <c r="O161" s="184"/>
      <c r="P161" s="184"/>
      <c r="Q161" s="184"/>
      <c r="R161" s="184"/>
      <c r="S161" s="184"/>
      <c r="T161" s="244" t="s">
        <v>34</v>
      </c>
      <c r="U161" s="184"/>
      <c r="V161" s="214"/>
      <c r="W161" s="202"/>
      <c r="X161" s="254"/>
      <c r="Y161" s="257"/>
    </row>
    <row r="162" spans="3:25" ht="20.100000000000001" customHeight="1" thickTop="1" x14ac:dyDescent="0.25">
      <c r="C162" s="256"/>
      <c r="D162" s="254"/>
      <c r="E162" s="205"/>
      <c r="F162" s="210"/>
      <c r="G162" s="185"/>
      <c r="H162" s="244" t="s">
        <v>32</v>
      </c>
      <c r="I162" s="184"/>
      <c r="J162" s="184"/>
      <c r="K162" s="184"/>
      <c r="L162" s="184"/>
      <c r="M162" s="184"/>
      <c r="N162" s="184"/>
      <c r="O162" s="184"/>
      <c r="P162" s="184"/>
      <c r="Q162" s="184"/>
      <c r="R162" s="184"/>
      <c r="S162" s="184"/>
      <c r="T162" s="244" t="s">
        <v>32</v>
      </c>
      <c r="U162" s="184"/>
      <c r="V162" s="209"/>
      <c r="W162" s="208"/>
      <c r="X162" s="254"/>
      <c r="Y162" s="257"/>
    </row>
    <row r="163" spans="3:25" ht="20.100000000000001" customHeight="1" thickBot="1" x14ac:dyDescent="0.3">
      <c r="C163" s="256"/>
      <c r="D163" s="254"/>
      <c r="E163" s="209"/>
      <c r="F163" s="210"/>
      <c r="G163" s="185"/>
      <c r="H163" s="184"/>
      <c r="I163" s="184"/>
      <c r="J163" s="184"/>
      <c r="K163" s="184"/>
      <c r="L163" s="184"/>
      <c r="M163" s="273">
        <v>10</v>
      </c>
      <c r="N163" s="117"/>
      <c r="O163" s="118"/>
      <c r="P163" s="184"/>
      <c r="Q163" s="184"/>
      <c r="R163" s="184"/>
      <c r="S163" s="184"/>
      <c r="T163" s="184"/>
      <c r="U163" s="184"/>
      <c r="V163" s="209"/>
      <c r="W163" s="211"/>
      <c r="X163" s="254"/>
      <c r="Y163" s="257"/>
    </row>
    <row r="164" spans="3:25" ht="20.100000000000001" customHeight="1" thickTop="1" x14ac:dyDescent="0.25">
      <c r="C164" s="256"/>
      <c r="D164" s="254"/>
      <c r="E164" s="209"/>
      <c r="F164" s="210"/>
      <c r="G164" s="185"/>
      <c r="H164" s="184"/>
      <c r="I164" s="184"/>
      <c r="J164" s="184"/>
      <c r="K164" s="184"/>
      <c r="L164" s="186"/>
      <c r="M164" s="274"/>
      <c r="N164" s="120" t="str">
        <f>IF(ISBLANK(N163),"",IFERROR(_xlfn.XLOOKUP(N163,'List of Teams'!$B$2:$B$65,'List of Teams'!$C$2:$C$65),""))</f>
        <v/>
      </c>
      <c r="O164" s="121"/>
      <c r="P164" s="184"/>
      <c r="Q164" s="184"/>
      <c r="R164" s="184"/>
      <c r="S164" s="184"/>
      <c r="T164" s="184"/>
      <c r="U164" s="184"/>
      <c r="V164" s="209"/>
      <c r="W164" s="211"/>
      <c r="X164" s="254"/>
      <c r="Y164" s="257"/>
    </row>
    <row r="165" spans="3:25" ht="20.100000000000001" customHeight="1" thickBot="1" x14ac:dyDescent="0.3">
      <c r="C165" s="256"/>
      <c r="D165" s="254"/>
      <c r="E165" s="209"/>
      <c r="F165" s="210"/>
      <c r="G165" s="185"/>
      <c r="H165" s="184"/>
      <c r="I165" s="184"/>
      <c r="J165" s="184"/>
      <c r="K165" s="127"/>
      <c r="L165" s="224"/>
      <c r="M165" s="275"/>
      <c r="N165" s="225" t="s">
        <v>44</v>
      </c>
      <c r="O165" s="125"/>
      <c r="P165" s="126"/>
      <c r="Q165" s="127"/>
      <c r="R165" s="184"/>
      <c r="S165" s="184"/>
      <c r="T165" s="184"/>
      <c r="U165" s="184"/>
      <c r="V165" s="209"/>
      <c r="W165" s="211"/>
      <c r="X165" s="254"/>
      <c r="Y165" s="257"/>
    </row>
    <row r="166" spans="3:25" ht="20.100000000000001" customHeight="1" thickTop="1" x14ac:dyDescent="0.25">
      <c r="C166" s="256"/>
      <c r="D166" s="254"/>
      <c r="E166" s="209"/>
      <c r="F166" s="210"/>
      <c r="G166" s="185"/>
      <c r="H166" s="184"/>
      <c r="I166" s="184"/>
      <c r="J166" s="184"/>
      <c r="K166" s="128"/>
      <c r="L166" s="135"/>
      <c r="M166" s="277"/>
      <c r="N166" s="227" t="s">
        <v>32</v>
      </c>
      <c r="O166" s="125"/>
      <c r="P166" s="131"/>
      <c r="Q166" s="132"/>
      <c r="R166" s="185"/>
      <c r="S166" s="184"/>
      <c r="T166" s="184"/>
      <c r="U166" s="184"/>
      <c r="V166" s="209"/>
      <c r="W166" s="211"/>
      <c r="X166" s="254"/>
      <c r="Y166" s="257"/>
    </row>
    <row r="167" spans="3:25" ht="20.100000000000001" customHeight="1" thickBot="1" x14ac:dyDescent="0.3">
      <c r="C167" s="256"/>
      <c r="D167" s="254"/>
      <c r="E167" s="209"/>
      <c r="F167" s="210"/>
      <c r="G167" s="185"/>
      <c r="H167" s="184"/>
      <c r="I167" s="184"/>
      <c r="J167" s="184"/>
      <c r="K167" s="134"/>
      <c r="L167" s="135"/>
      <c r="M167" s="276"/>
      <c r="N167" s="136" t="str">
        <f>IF(ISBLANK(N168),"",IFERROR(_xlfn.XLOOKUP(N168,'List of Teams'!$B$2:$B$65,'List of Teams'!$C$2:$C$65),""))</f>
        <v/>
      </c>
      <c r="O167" s="137"/>
      <c r="P167" s="132"/>
      <c r="Q167" s="132"/>
      <c r="R167" s="185"/>
      <c r="S167" s="184"/>
      <c r="T167" s="184"/>
      <c r="U167" s="184"/>
      <c r="V167" s="209"/>
      <c r="W167" s="211"/>
      <c r="X167" s="254"/>
      <c r="Y167" s="257"/>
    </row>
    <row r="168" spans="3:25" ht="20.100000000000001" customHeight="1" thickTop="1" x14ac:dyDescent="0.25">
      <c r="C168" s="256"/>
      <c r="D168" s="254"/>
      <c r="E168" s="209"/>
      <c r="F168" s="210"/>
      <c r="G168" s="185"/>
      <c r="H168" s="184"/>
      <c r="I168" s="184"/>
      <c r="J168" s="184"/>
      <c r="K168" s="134"/>
      <c r="L168" s="132"/>
      <c r="M168" s="273">
        <v>55</v>
      </c>
      <c r="N168" s="117"/>
      <c r="O168" s="138"/>
      <c r="P168" s="132"/>
      <c r="Q168" s="132"/>
      <c r="R168" s="185"/>
      <c r="S168" s="184"/>
      <c r="T168" s="184"/>
      <c r="U168" s="184"/>
      <c r="V168" s="209"/>
      <c r="W168" s="211"/>
      <c r="X168" s="254"/>
      <c r="Y168" s="257"/>
    </row>
    <row r="169" spans="3:25" ht="20.100000000000001" customHeight="1" thickBot="1" x14ac:dyDescent="0.3">
      <c r="C169" s="256"/>
      <c r="D169" s="254"/>
      <c r="E169" s="209"/>
      <c r="F169" s="210"/>
      <c r="G169" s="185"/>
      <c r="H169" s="184"/>
      <c r="I169" s="144"/>
      <c r="J169" s="228"/>
      <c r="K169" s="134"/>
      <c r="L169" s="142" t="s">
        <v>109</v>
      </c>
      <c r="M169" s="142"/>
      <c r="N169" s="132"/>
      <c r="O169" s="132"/>
      <c r="P169" s="142" t="s">
        <v>89</v>
      </c>
      <c r="Q169" s="132"/>
      <c r="R169" s="143"/>
      <c r="S169" s="144"/>
      <c r="T169" s="184"/>
      <c r="U169" s="184"/>
      <c r="V169" s="209"/>
      <c r="W169" s="211"/>
      <c r="X169" s="254"/>
      <c r="Y169" s="257"/>
    </row>
    <row r="170" spans="3:25" ht="20.100000000000001" customHeight="1" thickTop="1" x14ac:dyDescent="0.25">
      <c r="C170" s="256"/>
      <c r="D170" s="254"/>
      <c r="E170" s="209"/>
      <c r="F170" s="210"/>
      <c r="G170" s="185"/>
      <c r="H170" s="184"/>
      <c r="I170" s="145"/>
      <c r="J170" s="229"/>
      <c r="K170" s="134"/>
      <c r="L170" s="142" t="s">
        <v>32</v>
      </c>
      <c r="M170" s="142"/>
      <c r="N170" s="132"/>
      <c r="O170" s="132"/>
      <c r="P170" s="142" t="s">
        <v>32</v>
      </c>
      <c r="Q170" s="132"/>
      <c r="R170" s="230"/>
      <c r="S170" s="149"/>
      <c r="T170" s="185"/>
      <c r="U170" s="184"/>
      <c r="V170" s="209"/>
      <c r="W170" s="211"/>
      <c r="X170" s="254"/>
      <c r="Y170" s="257"/>
    </row>
    <row r="171" spans="3:25" ht="20.100000000000001" customHeight="1" thickBot="1" x14ac:dyDescent="0.3">
      <c r="C171" s="256"/>
      <c r="D171" s="254"/>
      <c r="E171" s="209"/>
      <c r="F171" s="210"/>
      <c r="G171" s="185"/>
      <c r="H171" s="184"/>
      <c r="I171" s="150"/>
      <c r="J171" s="149"/>
      <c r="K171" s="134"/>
      <c r="L171" s="132"/>
      <c r="M171" s="273">
        <v>23</v>
      </c>
      <c r="N171" s="117"/>
      <c r="O171" s="118"/>
      <c r="P171" s="132"/>
      <c r="Q171" s="132"/>
      <c r="R171" s="150"/>
      <c r="S171" s="149"/>
      <c r="T171" s="185"/>
      <c r="U171" s="184"/>
      <c r="V171" s="209"/>
      <c r="W171" s="211"/>
      <c r="X171" s="254"/>
      <c r="Y171" s="257"/>
    </row>
    <row r="172" spans="3:25" ht="20.100000000000001" customHeight="1" thickTop="1" x14ac:dyDescent="0.25">
      <c r="C172" s="256"/>
      <c r="D172" s="254"/>
      <c r="E172" s="209"/>
      <c r="F172" s="210"/>
      <c r="G172" s="185"/>
      <c r="H172" s="184"/>
      <c r="I172" s="150"/>
      <c r="J172" s="149"/>
      <c r="K172" s="134"/>
      <c r="L172" s="135"/>
      <c r="M172" s="274"/>
      <c r="N172" s="120" t="str">
        <f>IF(ISBLANK(N171),"",IFERROR(_xlfn.XLOOKUP(N171,'List of Teams'!$B$2:$B$65,'List of Teams'!$C$2:$C$65),""))</f>
        <v/>
      </c>
      <c r="O172" s="121"/>
      <c r="P172" s="132"/>
      <c r="Q172" s="132"/>
      <c r="R172" s="150"/>
      <c r="S172" s="149"/>
      <c r="T172" s="185"/>
      <c r="U172" s="184"/>
      <c r="V172" s="209"/>
      <c r="W172" s="211"/>
      <c r="X172" s="254"/>
      <c r="Y172" s="257"/>
    </row>
    <row r="173" spans="3:25" ht="20.100000000000001" customHeight="1" thickBot="1" x14ac:dyDescent="0.3">
      <c r="C173" s="256"/>
      <c r="D173" s="254"/>
      <c r="E173" s="209"/>
      <c r="F173" s="210"/>
      <c r="G173" s="185"/>
      <c r="H173" s="184"/>
      <c r="I173" s="150"/>
      <c r="J173" s="149"/>
      <c r="K173" s="151"/>
      <c r="L173" s="231"/>
      <c r="M173" s="273"/>
      <c r="N173" s="225" t="s">
        <v>45</v>
      </c>
      <c r="O173" s="125"/>
      <c r="P173" s="232"/>
      <c r="Q173" s="153"/>
      <c r="R173" s="150"/>
      <c r="S173" s="149"/>
      <c r="T173" s="185"/>
      <c r="U173" s="184"/>
      <c r="V173" s="209"/>
      <c r="W173" s="211"/>
      <c r="X173" s="254"/>
      <c r="Y173" s="257"/>
    </row>
    <row r="174" spans="3:25" ht="20.100000000000001" customHeight="1" thickTop="1" x14ac:dyDescent="0.25">
      <c r="C174" s="256"/>
      <c r="D174" s="254"/>
      <c r="E174" s="209"/>
      <c r="F174" s="210"/>
      <c r="G174" s="185"/>
      <c r="H174" s="184"/>
      <c r="I174" s="150"/>
      <c r="J174" s="149"/>
      <c r="K174" s="154"/>
      <c r="L174" s="233"/>
      <c r="M174" s="275"/>
      <c r="N174" s="227" t="s">
        <v>32</v>
      </c>
      <c r="O174" s="125"/>
      <c r="P174" s="234"/>
      <c r="Q174" s="154"/>
      <c r="R174" s="149"/>
      <c r="S174" s="149"/>
      <c r="T174" s="185"/>
      <c r="U174" s="184"/>
      <c r="V174" s="209"/>
      <c r="W174" s="211"/>
      <c r="X174" s="254"/>
      <c r="Y174" s="257"/>
    </row>
    <row r="175" spans="3:25" ht="20.100000000000001" customHeight="1" thickBot="1" x14ac:dyDescent="0.3">
      <c r="C175" s="256"/>
      <c r="D175" s="254"/>
      <c r="E175" s="209"/>
      <c r="F175" s="210"/>
      <c r="G175" s="185"/>
      <c r="H175" s="184"/>
      <c r="I175" s="150"/>
      <c r="J175" s="149"/>
      <c r="K175" s="149"/>
      <c r="L175" s="157"/>
      <c r="M175" s="276"/>
      <c r="N175" s="136" t="str">
        <f>IF(ISBLANK(N176),"",IFERROR(_xlfn.XLOOKUP(N176,'List of Teams'!$B$2:$B$65,'List of Teams'!$C$2:$C$65),""))</f>
        <v/>
      </c>
      <c r="O175" s="137"/>
      <c r="P175" s="149"/>
      <c r="Q175" s="149"/>
      <c r="R175" s="149"/>
      <c r="S175" s="149"/>
      <c r="T175" s="185"/>
      <c r="U175" s="184"/>
      <c r="V175" s="209"/>
      <c r="W175" s="211"/>
      <c r="X175" s="254"/>
      <c r="Y175" s="257"/>
    </row>
    <row r="176" spans="3:25" ht="20.100000000000001" customHeight="1" thickTop="1" x14ac:dyDescent="0.25">
      <c r="C176" s="256"/>
      <c r="D176" s="254"/>
      <c r="E176" s="209"/>
      <c r="F176" s="210"/>
      <c r="G176" s="185"/>
      <c r="H176" s="184"/>
      <c r="I176" s="150"/>
      <c r="J176" s="149"/>
      <c r="K176" s="149"/>
      <c r="L176" s="149"/>
      <c r="M176" s="273">
        <v>42</v>
      </c>
      <c r="N176" s="117"/>
      <c r="O176" s="138"/>
      <c r="P176" s="149"/>
      <c r="Q176" s="149"/>
      <c r="R176" s="149"/>
      <c r="S176" s="149"/>
      <c r="T176" s="185"/>
      <c r="U176" s="184"/>
      <c r="V176" s="209"/>
      <c r="W176" s="211"/>
      <c r="X176" s="254"/>
      <c r="Y176" s="257"/>
    </row>
    <row r="177" spans="3:25" ht="20.100000000000001" customHeight="1" thickBot="1" x14ac:dyDescent="0.3">
      <c r="C177" s="256"/>
      <c r="D177" s="254"/>
      <c r="E177" s="209"/>
      <c r="F177" s="210"/>
      <c r="G177" s="189"/>
      <c r="H177" s="245"/>
      <c r="I177" s="150"/>
      <c r="J177" s="235" t="s">
        <v>52</v>
      </c>
      <c r="K177" s="149"/>
      <c r="L177" s="149"/>
      <c r="M177" s="149"/>
      <c r="N177" s="149"/>
      <c r="O177" s="149"/>
      <c r="P177" s="149"/>
      <c r="Q177" s="149"/>
      <c r="R177" s="235" t="s">
        <v>84</v>
      </c>
      <c r="S177" s="149"/>
      <c r="T177" s="246"/>
      <c r="U177" s="192"/>
      <c r="V177" s="209"/>
      <c r="W177" s="211"/>
      <c r="X177" s="254"/>
      <c r="Y177" s="257"/>
    </row>
    <row r="178" spans="3:25" ht="20.100000000000001" customHeight="1" thickTop="1" x14ac:dyDescent="0.25">
      <c r="C178" s="256"/>
      <c r="D178" s="254"/>
      <c r="E178" s="209"/>
      <c r="F178" s="210"/>
      <c r="G178" s="193"/>
      <c r="H178" s="247"/>
      <c r="I178" s="150"/>
      <c r="J178" s="235" t="s">
        <v>32</v>
      </c>
      <c r="K178" s="149"/>
      <c r="L178" s="149"/>
      <c r="M178" s="149"/>
      <c r="N178" s="149"/>
      <c r="O178" s="149"/>
      <c r="P178" s="149"/>
      <c r="Q178" s="149"/>
      <c r="R178" s="235" t="s">
        <v>32</v>
      </c>
      <c r="S178" s="149"/>
      <c r="T178" s="248"/>
      <c r="U178" s="193"/>
      <c r="V178" s="210"/>
      <c r="W178" s="211"/>
      <c r="X178" s="254"/>
      <c r="Y178" s="257"/>
    </row>
    <row r="179" spans="3:25" ht="20.100000000000001" customHeight="1" thickBot="1" x14ac:dyDescent="0.3">
      <c r="C179" s="256"/>
      <c r="D179" s="254"/>
      <c r="E179" s="209"/>
      <c r="F179" s="210"/>
      <c r="G179" s="210"/>
      <c r="H179" s="210"/>
      <c r="I179" s="150"/>
      <c r="J179" s="149"/>
      <c r="K179" s="149"/>
      <c r="L179" s="149"/>
      <c r="M179" s="273">
        <v>26</v>
      </c>
      <c r="N179" s="117"/>
      <c r="O179" s="118"/>
      <c r="P179" s="149"/>
      <c r="Q179" s="149"/>
      <c r="R179" s="149"/>
      <c r="S179" s="149"/>
      <c r="T179" s="209"/>
      <c r="U179" s="210"/>
      <c r="V179" s="210"/>
      <c r="W179" s="211"/>
      <c r="X179" s="254"/>
      <c r="Y179" s="257"/>
    </row>
    <row r="180" spans="3:25" ht="20.100000000000001" customHeight="1" thickTop="1" x14ac:dyDescent="0.25">
      <c r="C180" s="256"/>
      <c r="D180" s="254"/>
      <c r="E180" s="209"/>
      <c r="F180" s="210"/>
      <c r="G180" s="210"/>
      <c r="H180" s="210"/>
      <c r="I180" s="150"/>
      <c r="J180" s="149"/>
      <c r="K180" s="149"/>
      <c r="L180" s="157"/>
      <c r="M180" s="274"/>
      <c r="N180" s="120" t="str">
        <f>IF(ISBLANK(N179),"",IFERROR(_xlfn.XLOOKUP(N179,'List of Teams'!$B$2:$B$65,'List of Teams'!$C$2:$C$65),""))</f>
        <v/>
      </c>
      <c r="O180" s="121"/>
      <c r="P180" s="149"/>
      <c r="Q180" s="149"/>
      <c r="R180" s="149"/>
      <c r="S180" s="149"/>
      <c r="T180" s="209"/>
      <c r="U180" s="210"/>
      <c r="V180" s="210"/>
      <c r="W180" s="211"/>
      <c r="X180" s="254"/>
      <c r="Y180" s="257"/>
    </row>
    <row r="181" spans="3:25" ht="20.100000000000001" customHeight="1" thickBot="1" x14ac:dyDescent="0.3">
      <c r="C181" s="256"/>
      <c r="D181" s="254"/>
      <c r="E181" s="209"/>
      <c r="F181" s="210"/>
      <c r="G181" s="210"/>
      <c r="H181" s="210"/>
      <c r="I181" s="150"/>
      <c r="J181" s="149"/>
      <c r="K181" s="127"/>
      <c r="L181" s="224"/>
      <c r="M181" s="275"/>
      <c r="N181" s="225" t="s">
        <v>46</v>
      </c>
      <c r="O181" s="125"/>
      <c r="P181" s="126"/>
      <c r="Q181" s="127"/>
      <c r="R181" s="149"/>
      <c r="S181" s="149"/>
      <c r="T181" s="209"/>
      <c r="U181" s="210"/>
      <c r="V181" s="210"/>
      <c r="W181" s="211"/>
      <c r="X181" s="254"/>
      <c r="Y181" s="257"/>
    </row>
    <row r="182" spans="3:25" ht="20.100000000000001" customHeight="1" thickTop="1" x14ac:dyDescent="0.25">
      <c r="C182" s="256"/>
      <c r="D182" s="254"/>
      <c r="E182" s="209"/>
      <c r="F182" s="210"/>
      <c r="G182" s="210"/>
      <c r="H182" s="210"/>
      <c r="I182" s="150"/>
      <c r="J182" s="149"/>
      <c r="K182" s="128"/>
      <c r="L182" s="226"/>
      <c r="M182" s="273"/>
      <c r="N182" s="227" t="s">
        <v>32</v>
      </c>
      <c r="O182" s="125"/>
      <c r="P182" s="131"/>
      <c r="Q182" s="132"/>
      <c r="R182" s="150"/>
      <c r="S182" s="149"/>
      <c r="T182" s="209"/>
      <c r="U182" s="210"/>
      <c r="V182" s="210"/>
      <c r="W182" s="211"/>
      <c r="X182" s="254"/>
      <c r="Y182" s="257"/>
    </row>
    <row r="183" spans="3:25" ht="20.100000000000001" customHeight="1" thickBot="1" x14ac:dyDescent="0.3">
      <c r="C183" s="256"/>
      <c r="D183" s="254"/>
      <c r="E183" s="209"/>
      <c r="F183" s="210"/>
      <c r="G183" s="210"/>
      <c r="H183" s="210"/>
      <c r="I183" s="150"/>
      <c r="J183" s="149"/>
      <c r="K183" s="134"/>
      <c r="L183" s="135"/>
      <c r="M183" s="276"/>
      <c r="N183" s="136" t="str">
        <f>IF(ISBLANK(N184),"",IFERROR(_xlfn.XLOOKUP(N184,'List of Teams'!$B$2:$B$65,'List of Teams'!$C$2:$C$65),""))</f>
        <v/>
      </c>
      <c r="O183" s="137"/>
      <c r="P183" s="132"/>
      <c r="Q183" s="132"/>
      <c r="R183" s="150"/>
      <c r="S183" s="149"/>
      <c r="T183" s="209"/>
      <c r="U183" s="210"/>
      <c r="V183" s="210"/>
      <c r="W183" s="211"/>
      <c r="X183" s="254"/>
      <c r="Y183" s="257"/>
    </row>
    <row r="184" spans="3:25" ht="20.100000000000001" customHeight="1" thickTop="1" x14ac:dyDescent="0.25">
      <c r="C184" s="256"/>
      <c r="D184" s="254"/>
      <c r="E184" s="209"/>
      <c r="F184" s="210"/>
      <c r="G184" s="210"/>
      <c r="H184" s="210"/>
      <c r="I184" s="150"/>
      <c r="J184" s="149"/>
      <c r="K184" s="134"/>
      <c r="L184" s="132"/>
      <c r="M184" s="273">
        <v>39</v>
      </c>
      <c r="N184" s="117"/>
      <c r="O184" s="138"/>
      <c r="P184" s="132"/>
      <c r="Q184" s="132"/>
      <c r="R184" s="150"/>
      <c r="S184" s="149"/>
      <c r="T184" s="209"/>
      <c r="U184" s="210"/>
      <c r="V184" s="210"/>
      <c r="W184" s="211"/>
      <c r="X184" s="254"/>
      <c r="Y184" s="257"/>
    </row>
    <row r="185" spans="3:25" ht="20.100000000000001" customHeight="1" thickBot="1" x14ac:dyDescent="0.3">
      <c r="C185" s="256"/>
      <c r="D185" s="254"/>
      <c r="E185" s="209"/>
      <c r="F185" s="210"/>
      <c r="G185" s="210"/>
      <c r="H185" s="210"/>
      <c r="I185" s="163"/>
      <c r="J185" s="239"/>
      <c r="K185" s="134"/>
      <c r="L185" s="142" t="s">
        <v>110</v>
      </c>
      <c r="M185" s="142"/>
      <c r="N185" s="132"/>
      <c r="O185" s="132"/>
      <c r="P185" s="142" t="s">
        <v>90</v>
      </c>
      <c r="Q185" s="132"/>
      <c r="R185" s="240"/>
      <c r="S185" s="166"/>
      <c r="T185" s="209"/>
      <c r="U185" s="210"/>
      <c r="V185" s="210"/>
      <c r="W185" s="211"/>
      <c r="X185" s="254"/>
      <c r="Y185" s="257"/>
    </row>
    <row r="186" spans="3:25" ht="20.100000000000001" customHeight="1" thickTop="1" x14ac:dyDescent="0.25">
      <c r="C186" s="256"/>
      <c r="D186" s="254"/>
      <c r="E186" s="209"/>
      <c r="F186" s="210"/>
      <c r="G186" s="210"/>
      <c r="H186" s="210"/>
      <c r="I186" s="167"/>
      <c r="J186" s="241"/>
      <c r="K186" s="134"/>
      <c r="L186" s="142" t="s">
        <v>32</v>
      </c>
      <c r="M186" s="142"/>
      <c r="N186" s="132"/>
      <c r="O186" s="132"/>
      <c r="P186" s="142" t="s">
        <v>32</v>
      </c>
      <c r="Q186" s="132"/>
      <c r="R186" s="242"/>
      <c r="S186" s="167"/>
      <c r="T186" s="210"/>
      <c r="U186" s="210"/>
      <c r="V186" s="210"/>
      <c r="W186" s="211"/>
      <c r="X186" s="254"/>
      <c r="Y186" s="257"/>
    </row>
    <row r="187" spans="3:25" ht="20.100000000000001" customHeight="1" thickBot="1" x14ac:dyDescent="0.3">
      <c r="C187" s="256"/>
      <c r="D187" s="254"/>
      <c r="E187" s="209"/>
      <c r="F187" s="210"/>
      <c r="G187" s="210"/>
      <c r="H187" s="210"/>
      <c r="I187" s="210"/>
      <c r="J187" s="210"/>
      <c r="K187" s="134"/>
      <c r="L187" s="132"/>
      <c r="M187" s="273">
        <v>7</v>
      </c>
      <c r="N187" s="117"/>
      <c r="O187" s="118"/>
      <c r="P187" s="132"/>
      <c r="Q187" s="132"/>
      <c r="R187" s="209"/>
      <c r="S187" s="210"/>
      <c r="T187" s="210"/>
      <c r="U187" s="210"/>
      <c r="V187" s="210"/>
      <c r="W187" s="211"/>
      <c r="X187" s="254"/>
      <c r="Y187" s="257"/>
    </row>
    <row r="188" spans="3:25" ht="20.100000000000001" customHeight="1" thickTop="1" x14ac:dyDescent="0.25">
      <c r="C188" s="256"/>
      <c r="D188" s="254"/>
      <c r="E188" s="209"/>
      <c r="F188" s="210"/>
      <c r="G188" s="210"/>
      <c r="H188" s="210"/>
      <c r="I188" s="210"/>
      <c r="J188" s="210"/>
      <c r="K188" s="134"/>
      <c r="L188" s="135"/>
      <c r="M188" s="274"/>
      <c r="N188" s="120" t="str">
        <f>IF(ISBLANK(N187),"",IFERROR(_xlfn.XLOOKUP(N187,'List of Teams'!$B$2:$B$65,'List of Teams'!$C$2:$C$65),""))</f>
        <v/>
      </c>
      <c r="O188" s="121"/>
      <c r="P188" s="132"/>
      <c r="Q188" s="132"/>
      <c r="R188" s="209"/>
      <c r="S188" s="210"/>
      <c r="T188" s="210"/>
      <c r="U188" s="210"/>
      <c r="V188" s="210"/>
      <c r="W188" s="211"/>
      <c r="X188" s="254"/>
      <c r="Y188" s="257"/>
    </row>
    <row r="189" spans="3:25" ht="20.100000000000001" customHeight="1" thickBot="1" x14ac:dyDescent="0.3">
      <c r="C189" s="256"/>
      <c r="D189" s="254"/>
      <c r="E189" s="209"/>
      <c r="F189" s="210"/>
      <c r="G189" s="210"/>
      <c r="H189" s="210"/>
      <c r="I189" s="210"/>
      <c r="J189" s="210"/>
      <c r="K189" s="151"/>
      <c r="L189" s="231"/>
      <c r="M189" s="273"/>
      <c r="N189" s="225" t="s">
        <v>47</v>
      </c>
      <c r="O189" s="125"/>
      <c r="P189" s="232"/>
      <c r="Q189" s="153"/>
      <c r="R189" s="209"/>
      <c r="S189" s="210"/>
      <c r="T189" s="210"/>
      <c r="U189" s="210"/>
      <c r="V189" s="210"/>
      <c r="W189" s="211"/>
      <c r="X189" s="254"/>
      <c r="Y189" s="257"/>
    </row>
    <row r="190" spans="3:25" ht="20.100000000000001" customHeight="1" thickTop="1" x14ac:dyDescent="0.25">
      <c r="C190" s="256"/>
      <c r="D190" s="254"/>
      <c r="E190" s="209"/>
      <c r="F190" s="210"/>
      <c r="G190" s="210"/>
      <c r="H190" s="210"/>
      <c r="I190" s="210"/>
      <c r="J190" s="210"/>
      <c r="K190" s="154"/>
      <c r="L190" s="233"/>
      <c r="M190" s="275"/>
      <c r="N190" s="227" t="s">
        <v>32</v>
      </c>
      <c r="O190" s="125"/>
      <c r="P190" s="234"/>
      <c r="Q190" s="154"/>
      <c r="R190" s="210"/>
      <c r="S190" s="210"/>
      <c r="T190" s="210"/>
      <c r="U190" s="210"/>
      <c r="V190" s="210"/>
      <c r="W190" s="211"/>
      <c r="X190" s="254"/>
      <c r="Y190" s="257"/>
    </row>
    <row r="191" spans="3:25" ht="20.100000000000001" customHeight="1" thickBot="1" x14ac:dyDescent="0.3">
      <c r="C191" s="256"/>
      <c r="D191" s="254"/>
      <c r="E191" s="209"/>
      <c r="F191" s="210"/>
      <c r="G191" s="210"/>
      <c r="H191" s="210"/>
      <c r="I191" s="210"/>
      <c r="J191" s="210"/>
      <c r="K191" s="210"/>
      <c r="L191" s="211"/>
      <c r="M191" s="276"/>
      <c r="N191" s="136" t="str">
        <f>IF(ISBLANK(N192),"",IFERROR(_xlfn.XLOOKUP(N192,'List of Teams'!$B$2:$B$65,'List of Teams'!$C$2:$C$65),""))</f>
        <v/>
      </c>
      <c r="O191" s="137"/>
      <c r="P191" s="210"/>
      <c r="Q191" s="210"/>
      <c r="R191" s="210"/>
      <c r="S191" s="210"/>
      <c r="T191" s="210"/>
      <c r="U191" s="210"/>
      <c r="V191" s="210"/>
      <c r="W191" s="211"/>
      <c r="X191" s="254"/>
      <c r="Y191" s="257"/>
    </row>
    <row r="192" spans="3:25" ht="20.100000000000001" customHeight="1" thickTop="1" x14ac:dyDescent="0.25">
      <c r="C192" s="256"/>
      <c r="D192" s="254"/>
      <c r="E192" s="209"/>
      <c r="F192" s="210"/>
      <c r="G192" s="210"/>
      <c r="H192" s="210"/>
      <c r="I192" s="210"/>
      <c r="J192" s="210"/>
      <c r="K192" s="210"/>
      <c r="L192" s="210"/>
      <c r="M192" s="273">
        <v>58</v>
      </c>
      <c r="N192" s="117"/>
      <c r="O192" s="138"/>
      <c r="P192" s="210"/>
      <c r="Q192" s="210"/>
      <c r="R192" s="210"/>
      <c r="S192" s="210"/>
      <c r="T192" s="210"/>
      <c r="U192" s="210"/>
      <c r="V192" s="210"/>
      <c r="W192" s="211"/>
      <c r="X192" s="254"/>
      <c r="Y192" s="257"/>
    </row>
    <row r="193" spans="3:25" ht="20.100000000000001" customHeight="1" thickBot="1" x14ac:dyDescent="0.3">
      <c r="C193" s="252"/>
      <c r="D193" s="250"/>
      <c r="E193" s="209"/>
      <c r="F193" s="251" t="s">
        <v>115</v>
      </c>
      <c r="G193" s="210"/>
      <c r="H193" s="210"/>
      <c r="I193" s="210"/>
      <c r="J193" s="210"/>
      <c r="K193" s="210"/>
      <c r="L193" s="210"/>
      <c r="M193" s="210"/>
      <c r="N193" s="210"/>
      <c r="O193" s="210"/>
      <c r="P193" s="210"/>
      <c r="Q193" s="210"/>
      <c r="R193" s="210"/>
      <c r="S193" s="210"/>
      <c r="T193" s="210"/>
      <c r="U193" s="210"/>
      <c r="V193" s="251" t="s">
        <v>116</v>
      </c>
      <c r="W193" s="211"/>
      <c r="X193" s="252"/>
      <c r="Y193" s="250"/>
    </row>
    <row r="194" spans="3:25" ht="20.100000000000001" customHeight="1" thickTop="1" x14ac:dyDescent="0.25">
      <c r="C194" s="259"/>
      <c r="D194" s="254"/>
      <c r="E194" s="209"/>
      <c r="F194" s="251" t="s">
        <v>32</v>
      </c>
      <c r="G194" s="210"/>
      <c r="H194" s="210"/>
      <c r="I194" s="210"/>
      <c r="J194" s="210"/>
      <c r="K194" s="210"/>
      <c r="L194" s="210"/>
      <c r="M194" s="210"/>
      <c r="N194" s="210"/>
      <c r="O194" s="210"/>
      <c r="P194" s="210"/>
      <c r="Q194" s="210"/>
      <c r="R194" s="210"/>
      <c r="S194" s="210"/>
      <c r="T194" s="210"/>
      <c r="U194" s="210"/>
      <c r="V194" s="251" t="s">
        <v>32</v>
      </c>
      <c r="W194" s="211"/>
      <c r="X194" s="254"/>
      <c r="Y194" s="259"/>
    </row>
    <row r="195" spans="3:25" ht="20.100000000000001" customHeight="1" thickBot="1" x14ac:dyDescent="0.3">
      <c r="E195" s="209"/>
      <c r="F195" s="210"/>
      <c r="G195" s="210"/>
      <c r="H195" s="210"/>
      <c r="I195" s="210"/>
      <c r="J195" s="210"/>
      <c r="K195" s="210"/>
      <c r="L195" s="210"/>
      <c r="M195" s="273">
        <v>3</v>
      </c>
      <c r="N195" s="117"/>
      <c r="O195" s="118"/>
      <c r="P195" s="210"/>
      <c r="Q195" s="210"/>
      <c r="R195" s="210"/>
      <c r="S195" s="210"/>
      <c r="T195" s="210"/>
      <c r="U195" s="210"/>
      <c r="V195" s="210"/>
      <c r="W195" s="211"/>
    </row>
    <row r="196" spans="3:25" ht="20.100000000000001" customHeight="1" thickTop="1" x14ac:dyDescent="0.25">
      <c r="E196" s="209"/>
      <c r="F196" s="210"/>
      <c r="G196" s="210"/>
      <c r="H196" s="210"/>
      <c r="I196" s="210"/>
      <c r="J196" s="210"/>
      <c r="K196" s="210"/>
      <c r="L196" s="211"/>
      <c r="M196" s="274"/>
      <c r="N196" s="120" t="str">
        <f>IF(ISBLANK(N195),"",IFERROR(_xlfn.XLOOKUP(N195,'List of Teams'!$B$2:$B$65,'List of Teams'!$C$2:$C$65),""))</f>
        <v/>
      </c>
      <c r="O196" s="121"/>
      <c r="P196" s="210"/>
      <c r="Q196" s="210"/>
      <c r="R196" s="210"/>
      <c r="S196" s="210"/>
      <c r="T196" s="210"/>
      <c r="U196" s="210"/>
      <c r="V196" s="210"/>
      <c r="W196" s="211"/>
    </row>
    <row r="197" spans="3:25" ht="20.100000000000001" customHeight="1" thickBot="1" x14ac:dyDescent="0.3">
      <c r="E197" s="209"/>
      <c r="F197" s="210"/>
      <c r="G197" s="210"/>
      <c r="H197" s="210"/>
      <c r="I197" s="210"/>
      <c r="J197" s="210"/>
      <c r="K197" s="127"/>
      <c r="L197" s="224"/>
      <c r="M197" s="275"/>
      <c r="N197" s="225" t="s">
        <v>95</v>
      </c>
      <c r="O197" s="125"/>
      <c r="P197" s="126"/>
      <c r="Q197" s="127"/>
      <c r="R197" s="210"/>
      <c r="S197" s="210"/>
      <c r="T197" s="210"/>
      <c r="U197" s="210"/>
      <c r="V197" s="210"/>
      <c r="W197" s="211"/>
    </row>
    <row r="198" spans="3:25" ht="20.100000000000001" customHeight="1" thickTop="1" x14ac:dyDescent="0.25">
      <c r="E198" s="209"/>
      <c r="F198" s="210"/>
      <c r="G198" s="210"/>
      <c r="H198" s="210"/>
      <c r="I198" s="210"/>
      <c r="J198" s="210"/>
      <c r="K198" s="128"/>
      <c r="L198" s="226"/>
      <c r="M198" s="273"/>
      <c r="N198" s="227" t="s">
        <v>32</v>
      </c>
      <c r="O198" s="125"/>
      <c r="P198" s="131"/>
      <c r="Q198" s="132"/>
      <c r="R198" s="209"/>
      <c r="S198" s="210"/>
      <c r="T198" s="210"/>
      <c r="U198" s="210"/>
      <c r="V198" s="210"/>
      <c r="W198" s="211"/>
    </row>
    <row r="199" spans="3:25" ht="20.100000000000001" customHeight="1" thickBot="1" x14ac:dyDescent="0.3">
      <c r="E199" s="209"/>
      <c r="F199" s="210"/>
      <c r="G199" s="210"/>
      <c r="H199" s="210"/>
      <c r="I199" s="210"/>
      <c r="J199" s="210"/>
      <c r="K199" s="134"/>
      <c r="L199" s="135"/>
      <c r="M199" s="276"/>
      <c r="N199" s="136" t="str">
        <f>IF(ISBLANK(N200),"",IFERROR(_xlfn.XLOOKUP(N200,'List of Teams'!$B$2:$B$65,'List of Teams'!$C$2:$C$65),""))</f>
        <v/>
      </c>
      <c r="O199" s="137"/>
      <c r="P199" s="132"/>
      <c r="Q199" s="132"/>
      <c r="R199" s="209"/>
      <c r="S199" s="210"/>
      <c r="T199" s="210"/>
      <c r="U199" s="210"/>
      <c r="V199" s="210"/>
      <c r="W199" s="211"/>
    </row>
    <row r="200" spans="3:25" ht="20.100000000000001" customHeight="1" thickTop="1" x14ac:dyDescent="0.25">
      <c r="E200" s="209"/>
      <c r="F200" s="210"/>
      <c r="G200" s="210"/>
      <c r="H200" s="210"/>
      <c r="I200" s="210"/>
      <c r="J200" s="210"/>
      <c r="K200" s="134"/>
      <c r="L200" s="132"/>
      <c r="M200" s="273">
        <v>62</v>
      </c>
      <c r="N200" s="117"/>
      <c r="O200" s="138"/>
      <c r="P200" s="132"/>
      <c r="Q200" s="132"/>
      <c r="R200" s="209"/>
      <c r="S200" s="210"/>
      <c r="T200" s="210"/>
      <c r="U200" s="210"/>
      <c r="V200" s="210"/>
      <c r="W200" s="211"/>
    </row>
    <row r="201" spans="3:25" ht="20.100000000000001" customHeight="1" thickBot="1" x14ac:dyDescent="0.3">
      <c r="E201" s="209"/>
      <c r="F201" s="210"/>
      <c r="G201" s="210"/>
      <c r="H201" s="210"/>
      <c r="I201" s="144"/>
      <c r="J201" s="228"/>
      <c r="K201" s="134"/>
      <c r="L201" s="142" t="s">
        <v>111</v>
      </c>
      <c r="M201" s="142"/>
      <c r="N201" s="132"/>
      <c r="O201" s="132"/>
      <c r="P201" s="142" t="s">
        <v>91</v>
      </c>
      <c r="Q201" s="132"/>
      <c r="R201" s="143"/>
      <c r="S201" s="144"/>
      <c r="T201" s="210"/>
      <c r="U201" s="210"/>
      <c r="V201" s="210"/>
      <c r="W201" s="211"/>
    </row>
    <row r="202" spans="3:25" ht="20.100000000000001" customHeight="1" thickTop="1" x14ac:dyDescent="0.25">
      <c r="E202" s="209"/>
      <c r="F202" s="210"/>
      <c r="G202" s="210"/>
      <c r="H202" s="210"/>
      <c r="I202" s="145"/>
      <c r="J202" s="229"/>
      <c r="K202" s="134"/>
      <c r="L202" s="142" t="s">
        <v>32</v>
      </c>
      <c r="M202" s="142"/>
      <c r="N202" s="132"/>
      <c r="O202" s="132"/>
      <c r="P202" s="142" t="s">
        <v>32</v>
      </c>
      <c r="Q202" s="132"/>
      <c r="R202" s="230"/>
      <c r="S202" s="149"/>
      <c r="T202" s="209"/>
      <c r="U202" s="210"/>
      <c r="V202" s="210"/>
      <c r="W202" s="211"/>
    </row>
    <row r="203" spans="3:25" ht="20.100000000000001" customHeight="1" thickBot="1" x14ac:dyDescent="0.3">
      <c r="E203" s="209"/>
      <c r="F203" s="210"/>
      <c r="G203" s="210"/>
      <c r="H203" s="210"/>
      <c r="I203" s="150"/>
      <c r="J203" s="149"/>
      <c r="K203" s="134"/>
      <c r="L203" s="132"/>
      <c r="M203" s="273">
        <v>30</v>
      </c>
      <c r="N203" s="117"/>
      <c r="O203" s="118"/>
      <c r="P203" s="132"/>
      <c r="Q203" s="132"/>
      <c r="R203" s="150"/>
      <c r="S203" s="149"/>
      <c r="T203" s="209"/>
      <c r="U203" s="210"/>
      <c r="V203" s="210"/>
      <c r="W203" s="211"/>
    </row>
    <row r="204" spans="3:25" ht="20.100000000000001" customHeight="1" thickTop="1" x14ac:dyDescent="0.25">
      <c r="E204" s="209"/>
      <c r="F204" s="210"/>
      <c r="G204" s="210"/>
      <c r="H204" s="210"/>
      <c r="I204" s="150"/>
      <c r="J204" s="149"/>
      <c r="K204" s="134"/>
      <c r="L204" s="135"/>
      <c r="M204" s="274"/>
      <c r="N204" s="120" t="str">
        <f>IF(ISBLANK(N203),"",IFERROR(_xlfn.XLOOKUP(N203,'List of Teams'!$B$2:$B$65,'List of Teams'!$C$2:$C$65),""))</f>
        <v/>
      </c>
      <c r="O204" s="121"/>
      <c r="P204" s="132"/>
      <c r="Q204" s="132"/>
      <c r="R204" s="150"/>
      <c r="S204" s="149"/>
      <c r="T204" s="209"/>
      <c r="U204" s="210"/>
      <c r="V204" s="210"/>
      <c r="W204" s="211"/>
    </row>
    <row r="205" spans="3:25" ht="20.100000000000001" customHeight="1" thickBot="1" x14ac:dyDescent="0.3">
      <c r="E205" s="209"/>
      <c r="F205" s="210"/>
      <c r="G205" s="210"/>
      <c r="H205" s="210"/>
      <c r="I205" s="150"/>
      <c r="J205" s="149"/>
      <c r="K205" s="151"/>
      <c r="L205" s="231"/>
      <c r="M205" s="273"/>
      <c r="N205" s="225" t="s">
        <v>96</v>
      </c>
      <c r="O205" s="125"/>
      <c r="P205" s="232"/>
      <c r="Q205" s="153"/>
      <c r="R205" s="150"/>
      <c r="S205" s="149"/>
      <c r="T205" s="209"/>
      <c r="U205" s="210"/>
      <c r="V205" s="210"/>
      <c r="W205" s="211"/>
    </row>
    <row r="206" spans="3:25" ht="20.100000000000001" customHeight="1" thickTop="1" x14ac:dyDescent="0.25">
      <c r="E206" s="209"/>
      <c r="F206" s="210"/>
      <c r="G206" s="210"/>
      <c r="H206" s="210"/>
      <c r="I206" s="150"/>
      <c r="J206" s="149"/>
      <c r="K206" s="154"/>
      <c r="L206" s="233"/>
      <c r="M206" s="275"/>
      <c r="N206" s="227" t="s">
        <v>32</v>
      </c>
      <c r="O206" s="125"/>
      <c r="P206" s="234"/>
      <c r="Q206" s="154"/>
      <c r="R206" s="149"/>
      <c r="S206" s="149"/>
      <c r="T206" s="209"/>
      <c r="U206" s="210"/>
      <c r="V206" s="210"/>
      <c r="W206" s="211"/>
    </row>
    <row r="207" spans="3:25" ht="20.100000000000001" customHeight="1" thickBot="1" x14ac:dyDescent="0.3">
      <c r="E207" s="209"/>
      <c r="F207" s="210"/>
      <c r="G207" s="210"/>
      <c r="H207" s="210"/>
      <c r="I207" s="150"/>
      <c r="J207" s="149"/>
      <c r="K207" s="149"/>
      <c r="L207" s="157"/>
      <c r="M207" s="276"/>
      <c r="N207" s="136" t="str">
        <f>IF(ISBLANK(N208),"",IFERROR(_xlfn.XLOOKUP(N208,'List of Teams'!$B$2:$B$65,'List of Teams'!$C$2:$C$65),""))</f>
        <v/>
      </c>
      <c r="O207" s="137"/>
      <c r="P207" s="149"/>
      <c r="Q207" s="149"/>
      <c r="R207" s="149"/>
      <c r="S207" s="149"/>
      <c r="T207" s="209"/>
      <c r="U207" s="210"/>
      <c r="V207" s="210"/>
      <c r="W207" s="211"/>
    </row>
    <row r="208" spans="3:25" ht="20.100000000000001" customHeight="1" thickTop="1" x14ac:dyDescent="0.25">
      <c r="E208" s="209"/>
      <c r="F208" s="210"/>
      <c r="G208" s="210"/>
      <c r="H208" s="210"/>
      <c r="I208" s="150"/>
      <c r="J208" s="235" t="s">
        <v>51</v>
      </c>
      <c r="K208" s="149"/>
      <c r="L208" s="149"/>
      <c r="M208" s="273">
        <v>35</v>
      </c>
      <c r="N208" s="117"/>
      <c r="O208" s="138"/>
      <c r="P208" s="149"/>
      <c r="Q208" s="149"/>
      <c r="R208" s="235" t="s">
        <v>85</v>
      </c>
      <c r="S208" s="149"/>
      <c r="T208" s="209"/>
      <c r="U208" s="210"/>
      <c r="V208" s="210"/>
      <c r="W208" s="211"/>
    </row>
    <row r="209" spans="5:23" ht="20.100000000000001" customHeight="1" thickBot="1" x14ac:dyDescent="0.3">
      <c r="E209" s="209"/>
      <c r="F209" s="210"/>
      <c r="G209" s="178"/>
      <c r="H209" s="236"/>
      <c r="I209" s="150"/>
      <c r="J209" s="235" t="s">
        <v>32</v>
      </c>
      <c r="K209" s="149"/>
      <c r="L209" s="149"/>
      <c r="M209" s="149"/>
      <c r="N209" s="149"/>
      <c r="O209" s="149"/>
      <c r="P209" s="149"/>
      <c r="Q209" s="149"/>
      <c r="R209" s="235" t="s">
        <v>32</v>
      </c>
      <c r="S209" s="149"/>
      <c r="T209" s="180"/>
      <c r="U209" s="178"/>
      <c r="V209" s="210"/>
      <c r="W209" s="211"/>
    </row>
    <row r="210" spans="5:23" ht="20.100000000000001" customHeight="1" thickTop="1" x14ac:dyDescent="0.25">
      <c r="E210" s="209"/>
      <c r="F210" s="210"/>
      <c r="G210" s="181"/>
      <c r="H210" s="237"/>
      <c r="I210" s="150"/>
      <c r="J210" s="149"/>
      <c r="K210" s="149"/>
      <c r="L210" s="149"/>
      <c r="M210" s="149"/>
      <c r="N210" s="149"/>
      <c r="O210" s="149"/>
      <c r="P210" s="149"/>
      <c r="Q210" s="149"/>
      <c r="R210" s="149"/>
      <c r="S210" s="149"/>
      <c r="T210" s="238"/>
      <c r="U210" s="184"/>
      <c r="V210" s="209"/>
      <c r="W210" s="211"/>
    </row>
    <row r="211" spans="5:23" ht="20.100000000000001" customHeight="1" thickBot="1" x14ac:dyDescent="0.3">
      <c r="E211" s="209"/>
      <c r="F211" s="210"/>
      <c r="G211" s="185"/>
      <c r="H211" s="184"/>
      <c r="I211" s="150"/>
      <c r="J211" s="149"/>
      <c r="K211" s="149"/>
      <c r="L211" s="149"/>
      <c r="M211" s="273">
        <v>19</v>
      </c>
      <c r="N211" s="117"/>
      <c r="O211" s="118"/>
      <c r="P211" s="149"/>
      <c r="Q211" s="149"/>
      <c r="R211" s="149"/>
      <c r="S211" s="149"/>
      <c r="T211" s="185"/>
      <c r="U211" s="184"/>
      <c r="V211" s="209"/>
      <c r="W211" s="211"/>
    </row>
    <row r="212" spans="5:23" ht="20.100000000000001" customHeight="1" thickTop="1" x14ac:dyDescent="0.25">
      <c r="E212" s="209"/>
      <c r="F212" s="210"/>
      <c r="G212" s="185"/>
      <c r="H212" s="184"/>
      <c r="I212" s="150"/>
      <c r="J212" s="149"/>
      <c r="K212" s="149"/>
      <c r="L212" s="157"/>
      <c r="M212" s="274"/>
      <c r="N212" s="120" t="str">
        <f>IF(ISBLANK(N211),"",IFERROR(_xlfn.XLOOKUP(N211,'List of Teams'!$B$2:$B$65,'List of Teams'!$C$2:$C$65),""))</f>
        <v/>
      </c>
      <c r="O212" s="121"/>
      <c r="P212" s="149"/>
      <c r="Q212" s="149"/>
      <c r="R212" s="149"/>
      <c r="S212" s="149"/>
      <c r="T212" s="185"/>
      <c r="U212" s="184"/>
      <c r="V212" s="209"/>
      <c r="W212" s="211"/>
    </row>
    <row r="213" spans="5:23" ht="20.100000000000001" customHeight="1" thickBot="1" x14ac:dyDescent="0.3">
      <c r="E213" s="209"/>
      <c r="F213" s="210"/>
      <c r="G213" s="185"/>
      <c r="H213" s="184"/>
      <c r="I213" s="150"/>
      <c r="J213" s="149"/>
      <c r="K213" s="127"/>
      <c r="L213" s="224"/>
      <c r="M213" s="275"/>
      <c r="N213" s="225" t="s">
        <v>97</v>
      </c>
      <c r="O213" s="125"/>
      <c r="P213" s="126"/>
      <c r="Q213" s="127"/>
      <c r="R213" s="149"/>
      <c r="S213" s="149"/>
      <c r="T213" s="185"/>
      <c r="U213" s="184"/>
      <c r="V213" s="209"/>
      <c r="W213" s="211"/>
    </row>
    <row r="214" spans="5:23" ht="20.100000000000001" customHeight="1" thickTop="1" x14ac:dyDescent="0.25">
      <c r="E214" s="209"/>
      <c r="F214" s="210"/>
      <c r="G214" s="185"/>
      <c r="H214" s="184"/>
      <c r="I214" s="150"/>
      <c r="J214" s="149"/>
      <c r="K214" s="128"/>
      <c r="L214" s="226"/>
      <c r="M214" s="273"/>
      <c r="N214" s="227" t="s">
        <v>32</v>
      </c>
      <c r="O214" s="125"/>
      <c r="P214" s="131"/>
      <c r="Q214" s="132"/>
      <c r="R214" s="150"/>
      <c r="S214" s="149"/>
      <c r="T214" s="185"/>
      <c r="U214" s="184"/>
      <c r="V214" s="209"/>
      <c r="W214" s="211"/>
    </row>
    <row r="215" spans="5:23" ht="20.100000000000001" customHeight="1" thickBot="1" x14ac:dyDescent="0.3">
      <c r="E215" s="209"/>
      <c r="F215" s="210"/>
      <c r="G215" s="185"/>
      <c r="H215" s="184"/>
      <c r="I215" s="150"/>
      <c r="J215" s="149"/>
      <c r="K215" s="134"/>
      <c r="L215" s="135"/>
      <c r="M215" s="276"/>
      <c r="N215" s="136" t="str">
        <f>IF(ISBLANK(N216),"",IFERROR(_xlfn.XLOOKUP(N216,'List of Teams'!$B$2:$B$65,'List of Teams'!$C$2:$C$65),""))</f>
        <v/>
      </c>
      <c r="O215" s="137"/>
      <c r="P215" s="132"/>
      <c r="Q215" s="132"/>
      <c r="R215" s="150"/>
      <c r="S215" s="149"/>
      <c r="T215" s="185"/>
      <c r="U215" s="184"/>
      <c r="V215" s="209"/>
      <c r="W215" s="211"/>
    </row>
    <row r="216" spans="5:23" ht="20.100000000000001" customHeight="1" thickTop="1" x14ac:dyDescent="0.25">
      <c r="E216" s="209"/>
      <c r="F216" s="210"/>
      <c r="G216" s="185"/>
      <c r="H216" s="184"/>
      <c r="I216" s="150"/>
      <c r="J216" s="149"/>
      <c r="K216" s="134"/>
      <c r="L216" s="132"/>
      <c r="M216" s="273">
        <v>46</v>
      </c>
      <c r="N216" s="117"/>
      <c r="O216" s="138"/>
      <c r="P216" s="132"/>
      <c r="Q216" s="132"/>
      <c r="R216" s="150"/>
      <c r="S216" s="149"/>
      <c r="T216" s="185"/>
      <c r="U216" s="184"/>
      <c r="V216" s="209"/>
      <c r="W216" s="211"/>
    </row>
    <row r="217" spans="5:23" ht="20.100000000000001" customHeight="1" thickBot="1" x14ac:dyDescent="0.3">
      <c r="E217" s="209"/>
      <c r="F217" s="210"/>
      <c r="G217" s="185"/>
      <c r="H217" s="184"/>
      <c r="I217" s="163"/>
      <c r="J217" s="239"/>
      <c r="K217" s="134"/>
      <c r="L217" s="142" t="s">
        <v>112</v>
      </c>
      <c r="M217" s="142"/>
      <c r="N217" s="132"/>
      <c r="O217" s="132"/>
      <c r="P217" s="142" t="s">
        <v>92</v>
      </c>
      <c r="Q217" s="132"/>
      <c r="R217" s="240"/>
      <c r="S217" s="166"/>
      <c r="T217" s="185"/>
      <c r="U217" s="184"/>
      <c r="V217" s="209"/>
      <c r="W217" s="211"/>
    </row>
    <row r="218" spans="5:23" ht="20.100000000000001" customHeight="1" thickTop="1" x14ac:dyDescent="0.25">
      <c r="E218" s="209"/>
      <c r="F218" s="210"/>
      <c r="G218" s="185"/>
      <c r="H218" s="184"/>
      <c r="I218" s="167"/>
      <c r="J218" s="241"/>
      <c r="K218" s="134"/>
      <c r="L218" s="142" t="s">
        <v>32</v>
      </c>
      <c r="M218" s="142"/>
      <c r="N218" s="132"/>
      <c r="O218" s="132"/>
      <c r="P218" s="142" t="s">
        <v>32</v>
      </c>
      <c r="Q218" s="132"/>
      <c r="R218" s="242"/>
      <c r="S218" s="167"/>
      <c r="T218" s="184"/>
      <c r="U218" s="184"/>
      <c r="V218" s="209"/>
      <c r="W218" s="211"/>
    </row>
    <row r="219" spans="5:23" ht="20.100000000000001" customHeight="1" thickBot="1" x14ac:dyDescent="0.3">
      <c r="E219" s="209"/>
      <c r="F219" s="210"/>
      <c r="G219" s="185"/>
      <c r="H219" s="184"/>
      <c r="I219" s="184"/>
      <c r="J219" s="184"/>
      <c r="K219" s="134"/>
      <c r="L219" s="132"/>
      <c r="M219" s="273">
        <v>14</v>
      </c>
      <c r="N219" s="117"/>
      <c r="O219" s="118"/>
      <c r="P219" s="132"/>
      <c r="Q219" s="132"/>
      <c r="R219" s="185"/>
      <c r="S219" s="184"/>
      <c r="T219" s="184"/>
      <c r="U219" s="184"/>
      <c r="V219" s="209"/>
      <c r="W219" s="211"/>
    </row>
    <row r="220" spans="5:23" ht="20.100000000000001" customHeight="1" thickTop="1" x14ac:dyDescent="0.25">
      <c r="E220" s="209"/>
      <c r="F220" s="210"/>
      <c r="G220" s="185"/>
      <c r="H220" s="184"/>
      <c r="I220" s="184"/>
      <c r="J220" s="184"/>
      <c r="K220" s="134"/>
      <c r="L220" s="135"/>
      <c r="M220" s="274"/>
      <c r="N220" s="120" t="str">
        <f>IF(ISBLANK(N219),"",IFERROR(_xlfn.XLOOKUP(N219,'List of Teams'!$B$2:$B$65,'List of Teams'!$C$2:$C$65),""))</f>
        <v/>
      </c>
      <c r="O220" s="121"/>
      <c r="P220" s="132"/>
      <c r="Q220" s="132"/>
      <c r="R220" s="185"/>
      <c r="S220" s="184"/>
      <c r="T220" s="184"/>
      <c r="U220" s="184"/>
      <c r="V220" s="209"/>
      <c r="W220" s="211"/>
    </row>
    <row r="221" spans="5:23" ht="20.100000000000001" customHeight="1" thickBot="1" x14ac:dyDescent="0.3">
      <c r="E221" s="209"/>
      <c r="F221" s="210"/>
      <c r="G221" s="185"/>
      <c r="H221" s="184"/>
      <c r="I221" s="184"/>
      <c r="J221" s="184"/>
      <c r="K221" s="151"/>
      <c r="L221" s="231"/>
      <c r="M221" s="273"/>
      <c r="N221" s="225" t="s">
        <v>98</v>
      </c>
      <c r="O221" s="125"/>
      <c r="P221" s="232"/>
      <c r="Q221" s="153"/>
      <c r="R221" s="185"/>
      <c r="S221" s="184"/>
      <c r="T221" s="184"/>
      <c r="U221" s="184"/>
      <c r="V221" s="209"/>
      <c r="W221" s="211"/>
    </row>
    <row r="222" spans="5:23" ht="20.100000000000001" customHeight="1" thickTop="1" x14ac:dyDescent="0.25">
      <c r="E222" s="209"/>
      <c r="F222" s="210"/>
      <c r="G222" s="185"/>
      <c r="H222" s="184"/>
      <c r="I222" s="184"/>
      <c r="J222" s="184"/>
      <c r="K222" s="154"/>
      <c r="L222" s="233"/>
      <c r="M222" s="275"/>
      <c r="N222" s="227" t="s">
        <v>32</v>
      </c>
      <c r="O222" s="125"/>
      <c r="P222" s="234"/>
      <c r="Q222" s="154"/>
      <c r="R222" s="184"/>
      <c r="S222" s="184"/>
      <c r="T222" s="184"/>
      <c r="U222" s="184"/>
      <c r="V222" s="209"/>
      <c r="W222" s="211"/>
    </row>
    <row r="223" spans="5:23" ht="20.100000000000001" customHeight="1" thickBot="1" x14ac:dyDescent="0.3">
      <c r="E223" s="209"/>
      <c r="F223" s="210"/>
      <c r="G223" s="185"/>
      <c r="H223" s="184"/>
      <c r="I223" s="184"/>
      <c r="J223" s="184"/>
      <c r="K223" s="184"/>
      <c r="L223" s="186"/>
      <c r="M223" s="276"/>
      <c r="N223" s="136" t="str">
        <f>IF(ISBLANK(N224),"",IFERROR(_xlfn.XLOOKUP(N224,'List of Teams'!$B$2:$B$65,'List of Teams'!$C$2:$C$65),""))</f>
        <v/>
      </c>
      <c r="O223" s="137"/>
      <c r="P223" s="184"/>
      <c r="Q223" s="184"/>
      <c r="R223" s="184"/>
      <c r="S223" s="184"/>
      <c r="T223" s="184"/>
      <c r="U223" s="184"/>
      <c r="V223" s="209"/>
      <c r="W223" s="211"/>
    </row>
    <row r="224" spans="5:23" ht="20.100000000000001" customHeight="1" thickTop="1" x14ac:dyDescent="0.25">
      <c r="E224" s="209"/>
      <c r="F224" s="210"/>
      <c r="G224" s="185"/>
      <c r="H224" s="184"/>
      <c r="I224" s="184"/>
      <c r="J224" s="184"/>
      <c r="K224" s="184"/>
      <c r="L224" s="184"/>
      <c r="M224" s="273">
        <v>51</v>
      </c>
      <c r="N224" s="117"/>
      <c r="O224" s="138"/>
      <c r="P224" s="184"/>
      <c r="Q224" s="184"/>
      <c r="R224" s="184"/>
      <c r="S224" s="184"/>
      <c r="T224" s="184"/>
      <c r="U224" s="184"/>
      <c r="V224" s="209"/>
      <c r="W224" s="211"/>
    </row>
    <row r="225" spans="5:23" ht="20.100000000000001" customHeight="1" thickBot="1" x14ac:dyDescent="0.3">
      <c r="E225" s="214"/>
      <c r="F225" s="243"/>
      <c r="G225" s="185"/>
      <c r="H225" s="244" t="s">
        <v>54</v>
      </c>
      <c r="I225" s="184"/>
      <c r="J225" s="184"/>
      <c r="K225" s="184"/>
      <c r="L225" s="184"/>
      <c r="M225" s="184"/>
      <c r="N225" s="184"/>
      <c r="O225" s="184"/>
      <c r="P225" s="184"/>
      <c r="Q225" s="184"/>
      <c r="R225" s="184"/>
      <c r="S225" s="184"/>
      <c r="T225" s="244" t="s">
        <v>35</v>
      </c>
      <c r="U225" s="184"/>
      <c r="V225" s="214"/>
      <c r="W225" s="217"/>
    </row>
    <row r="226" spans="5:23" ht="20.100000000000001" customHeight="1" thickTop="1" x14ac:dyDescent="0.25">
      <c r="E226" s="218"/>
      <c r="F226" s="210"/>
      <c r="G226" s="185"/>
      <c r="H226" s="244" t="s">
        <v>32</v>
      </c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244" t="s">
        <v>32</v>
      </c>
      <c r="U226" s="184"/>
      <c r="V226" s="209"/>
      <c r="W226" s="218"/>
    </row>
    <row r="227" spans="5:23" ht="20.100000000000001" customHeight="1" thickBot="1" x14ac:dyDescent="0.3">
      <c r="G227" s="185"/>
      <c r="H227" s="184"/>
      <c r="I227" s="184"/>
      <c r="J227" s="184"/>
      <c r="K227" s="184"/>
      <c r="L227" s="184"/>
      <c r="M227" s="273">
        <v>11</v>
      </c>
      <c r="N227" s="117"/>
      <c r="O227" s="118"/>
      <c r="P227" s="184"/>
      <c r="Q227" s="184"/>
      <c r="R227" s="184"/>
      <c r="S227" s="184"/>
      <c r="T227" s="184"/>
      <c r="U227" s="184"/>
      <c r="V227" s="133"/>
    </row>
    <row r="228" spans="5:23" ht="20.100000000000001" customHeight="1" thickTop="1" x14ac:dyDescent="0.25">
      <c r="G228" s="185"/>
      <c r="H228" s="184"/>
      <c r="I228" s="184"/>
      <c r="J228" s="184"/>
      <c r="K228" s="184"/>
      <c r="L228" s="186"/>
      <c r="M228" s="274"/>
      <c r="N228" s="120" t="str">
        <f>IF(ISBLANK(N227),"",IFERROR(_xlfn.XLOOKUP(N227,'List of Teams'!$B$2:$B$65,'List of Teams'!$C$2:$C$65),""))</f>
        <v/>
      </c>
      <c r="O228" s="121"/>
      <c r="P228" s="184"/>
      <c r="Q228" s="184"/>
      <c r="R228" s="184"/>
      <c r="S228" s="184"/>
      <c r="T228" s="184"/>
      <c r="U228" s="184"/>
      <c r="V228" s="133"/>
    </row>
    <row r="229" spans="5:23" ht="20.100000000000001" customHeight="1" thickBot="1" x14ac:dyDescent="0.3">
      <c r="G229" s="185"/>
      <c r="H229" s="184"/>
      <c r="I229" s="184"/>
      <c r="J229" s="184"/>
      <c r="K229" s="127"/>
      <c r="L229" s="224"/>
      <c r="M229" s="275"/>
      <c r="N229" s="225" t="s">
        <v>99</v>
      </c>
      <c r="O229" s="125"/>
      <c r="P229" s="126"/>
      <c r="Q229" s="127"/>
      <c r="R229" s="184"/>
      <c r="S229" s="184"/>
      <c r="T229" s="184"/>
      <c r="U229" s="184"/>
      <c r="V229" s="133"/>
    </row>
    <row r="230" spans="5:23" ht="20.100000000000001" customHeight="1" thickTop="1" x14ac:dyDescent="0.25">
      <c r="G230" s="185"/>
      <c r="H230" s="184"/>
      <c r="I230" s="184"/>
      <c r="J230" s="184"/>
      <c r="K230" s="128"/>
      <c r="L230" s="135"/>
      <c r="M230" s="277"/>
      <c r="N230" s="227" t="s">
        <v>32</v>
      </c>
      <c r="O230" s="125"/>
      <c r="P230" s="131"/>
      <c r="Q230" s="132"/>
      <c r="R230" s="185"/>
      <c r="S230" s="184"/>
      <c r="T230" s="184"/>
      <c r="U230" s="184"/>
      <c r="V230" s="133"/>
    </row>
    <row r="231" spans="5:23" ht="20.100000000000001" customHeight="1" thickBot="1" x14ac:dyDescent="0.3">
      <c r="G231" s="185"/>
      <c r="H231" s="184"/>
      <c r="I231" s="184"/>
      <c r="J231" s="184"/>
      <c r="K231" s="134"/>
      <c r="L231" s="135"/>
      <c r="M231" s="276"/>
      <c r="N231" s="136" t="str">
        <f>IF(ISBLANK(N232),"",IFERROR(_xlfn.XLOOKUP(N232,'List of Teams'!$B$2:$B$65,'List of Teams'!$C$2:$C$65),""))</f>
        <v/>
      </c>
      <c r="O231" s="137"/>
      <c r="P231" s="132"/>
      <c r="Q231" s="132"/>
      <c r="R231" s="185"/>
      <c r="S231" s="184"/>
      <c r="T231" s="184"/>
      <c r="U231" s="184"/>
      <c r="V231" s="133"/>
    </row>
    <row r="232" spans="5:23" ht="20.100000000000001" customHeight="1" thickTop="1" x14ac:dyDescent="0.25">
      <c r="G232" s="185"/>
      <c r="H232" s="184"/>
      <c r="I232" s="184"/>
      <c r="J232" s="184"/>
      <c r="K232" s="134"/>
      <c r="L232" s="132"/>
      <c r="M232" s="273">
        <v>54</v>
      </c>
      <c r="N232" s="117"/>
      <c r="O232" s="138"/>
      <c r="P232" s="132"/>
      <c r="Q232" s="132"/>
      <c r="R232" s="185"/>
      <c r="S232" s="184"/>
      <c r="T232" s="184"/>
      <c r="U232" s="184"/>
      <c r="V232" s="133"/>
    </row>
    <row r="233" spans="5:23" ht="20.100000000000001" customHeight="1" thickBot="1" x14ac:dyDescent="0.3">
      <c r="G233" s="185"/>
      <c r="H233" s="184"/>
      <c r="I233" s="144"/>
      <c r="J233" s="228"/>
      <c r="K233" s="134"/>
      <c r="L233" s="142" t="s">
        <v>113</v>
      </c>
      <c r="M233" s="142"/>
      <c r="N233" s="132"/>
      <c r="O233" s="132"/>
      <c r="P233" s="142" t="s">
        <v>93</v>
      </c>
      <c r="Q233" s="132"/>
      <c r="R233" s="143"/>
      <c r="S233" s="144"/>
      <c r="T233" s="184"/>
      <c r="U233" s="184"/>
      <c r="V233" s="133"/>
    </row>
    <row r="234" spans="5:23" ht="20.100000000000001" customHeight="1" thickTop="1" x14ac:dyDescent="0.25">
      <c r="G234" s="185"/>
      <c r="H234" s="184"/>
      <c r="I234" s="145"/>
      <c r="J234" s="229"/>
      <c r="K234" s="134"/>
      <c r="L234" s="142" t="s">
        <v>32</v>
      </c>
      <c r="M234" s="142"/>
      <c r="N234" s="132"/>
      <c r="O234" s="132"/>
      <c r="P234" s="142" t="s">
        <v>32</v>
      </c>
      <c r="Q234" s="132"/>
      <c r="R234" s="230"/>
      <c r="S234" s="149"/>
      <c r="T234" s="185"/>
      <c r="U234" s="184"/>
      <c r="V234" s="133"/>
    </row>
    <row r="235" spans="5:23" ht="20.100000000000001" customHeight="1" thickBot="1" x14ac:dyDescent="0.3">
      <c r="G235" s="185"/>
      <c r="H235" s="184"/>
      <c r="I235" s="150"/>
      <c r="J235" s="149"/>
      <c r="K235" s="134"/>
      <c r="L235" s="132"/>
      <c r="M235" s="273">
        <v>22</v>
      </c>
      <c r="N235" s="117"/>
      <c r="O235" s="118"/>
      <c r="P235" s="132"/>
      <c r="Q235" s="132"/>
      <c r="R235" s="150"/>
      <c r="S235" s="149"/>
      <c r="T235" s="185"/>
      <c r="U235" s="184"/>
      <c r="V235" s="133"/>
    </row>
    <row r="236" spans="5:23" ht="20.100000000000001" customHeight="1" thickTop="1" x14ac:dyDescent="0.25">
      <c r="G236" s="185"/>
      <c r="H236" s="184"/>
      <c r="I236" s="150"/>
      <c r="J236" s="149"/>
      <c r="K236" s="134"/>
      <c r="L236" s="135"/>
      <c r="M236" s="274"/>
      <c r="N236" s="120" t="str">
        <f>IF(ISBLANK(N235),"",IFERROR(_xlfn.XLOOKUP(N235,'List of Teams'!$B$2:$B$65,'List of Teams'!$C$2:$C$65),""))</f>
        <v/>
      </c>
      <c r="O236" s="121"/>
      <c r="P236" s="132"/>
      <c r="Q236" s="132"/>
      <c r="R236" s="150"/>
      <c r="S236" s="149"/>
      <c r="T236" s="185"/>
      <c r="U236" s="184"/>
      <c r="V236" s="133"/>
    </row>
    <row r="237" spans="5:23" ht="20.100000000000001" customHeight="1" thickBot="1" x14ac:dyDescent="0.3">
      <c r="G237" s="185"/>
      <c r="H237" s="184"/>
      <c r="I237" s="150"/>
      <c r="J237" s="149"/>
      <c r="K237" s="151"/>
      <c r="L237" s="231"/>
      <c r="M237" s="273"/>
      <c r="N237" s="225" t="s">
        <v>100</v>
      </c>
      <c r="O237" s="125"/>
      <c r="P237" s="232"/>
      <c r="Q237" s="153"/>
      <c r="R237" s="150"/>
      <c r="S237" s="149"/>
      <c r="T237" s="185"/>
      <c r="U237" s="184"/>
      <c r="V237" s="133"/>
    </row>
    <row r="238" spans="5:23" ht="20.100000000000001" customHeight="1" thickTop="1" x14ac:dyDescent="0.25">
      <c r="G238" s="185"/>
      <c r="H238" s="184"/>
      <c r="I238" s="150"/>
      <c r="J238" s="149"/>
      <c r="K238" s="154"/>
      <c r="L238" s="233"/>
      <c r="M238" s="275"/>
      <c r="N238" s="227" t="s">
        <v>32</v>
      </c>
      <c r="O238" s="125"/>
      <c r="P238" s="234"/>
      <c r="Q238" s="154"/>
      <c r="R238" s="149"/>
      <c r="S238" s="149"/>
      <c r="T238" s="185"/>
      <c r="U238" s="184"/>
      <c r="V238" s="133"/>
    </row>
    <row r="239" spans="5:23" ht="20.100000000000001" customHeight="1" thickBot="1" x14ac:dyDescent="0.3">
      <c r="G239" s="185"/>
      <c r="H239" s="184"/>
      <c r="I239" s="150"/>
      <c r="J239" s="149"/>
      <c r="K239" s="149"/>
      <c r="L239" s="157"/>
      <c r="M239" s="276"/>
      <c r="N239" s="136" t="str">
        <f>IF(ISBLANK(N240),"",IFERROR(_xlfn.XLOOKUP(N240,'List of Teams'!$B$2:$B$65,'List of Teams'!$C$2:$C$65),""))</f>
        <v/>
      </c>
      <c r="O239" s="137"/>
      <c r="P239" s="149"/>
      <c r="Q239" s="149"/>
      <c r="R239" s="149"/>
      <c r="S239" s="149"/>
      <c r="T239" s="185"/>
      <c r="U239" s="184"/>
      <c r="V239" s="133"/>
    </row>
    <row r="240" spans="5:23" ht="20.100000000000001" customHeight="1" thickTop="1" x14ac:dyDescent="0.25">
      <c r="G240" s="185"/>
      <c r="H240" s="184"/>
      <c r="I240" s="150"/>
      <c r="J240" s="149"/>
      <c r="K240" s="149"/>
      <c r="L240" s="149"/>
      <c r="M240" s="273">
        <v>43</v>
      </c>
      <c r="N240" s="117"/>
      <c r="O240" s="138"/>
      <c r="P240" s="149"/>
      <c r="Q240" s="149"/>
      <c r="R240" s="149"/>
      <c r="S240" s="149"/>
      <c r="T240" s="185"/>
      <c r="U240" s="184"/>
      <c r="V240" s="133"/>
    </row>
    <row r="241" spans="7:22" ht="20.100000000000001" customHeight="1" thickBot="1" x14ac:dyDescent="0.3">
      <c r="G241" s="189"/>
      <c r="H241" s="245"/>
      <c r="I241" s="150"/>
      <c r="J241" s="235" t="s">
        <v>50</v>
      </c>
      <c r="K241" s="149"/>
      <c r="L241" s="149"/>
      <c r="M241" s="149"/>
      <c r="N241" s="149"/>
      <c r="O241" s="149"/>
      <c r="P241" s="149"/>
      <c r="Q241" s="149"/>
      <c r="R241" s="235" t="s">
        <v>86</v>
      </c>
      <c r="S241" s="149"/>
      <c r="T241" s="246"/>
      <c r="U241" s="192"/>
      <c r="V241" s="133"/>
    </row>
    <row r="242" spans="7:22" ht="20.100000000000001" customHeight="1" thickTop="1" x14ac:dyDescent="0.25">
      <c r="G242" s="193"/>
      <c r="H242" s="247"/>
      <c r="I242" s="150"/>
      <c r="J242" s="235" t="s">
        <v>32</v>
      </c>
      <c r="K242" s="149"/>
      <c r="L242" s="149"/>
      <c r="M242" s="149"/>
      <c r="N242" s="149"/>
      <c r="O242" s="149"/>
      <c r="P242" s="149"/>
      <c r="Q242" s="149"/>
      <c r="R242" s="235" t="s">
        <v>32</v>
      </c>
      <c r="S242" s="149"/>
      <c r="T242" s="248"/>
      <c r="U242" s="193"/>
    </row>
    <row r="243" spans="7:22" ht="20.100000000000001" customHeight="1" thickBot="1" x14ac:dyDescent="0.3">
      <c r="I243" s="150"/>
      <c r="J243" s="149"/>
      <c r="K243" s="149"/>
      <c r="L243" s="149"/>
      <c r="M243" s="273">
        <v>27</v>
      </c>
      <c r="N243" s="117"/>
      <c r="O243" s="118"/>
      <c r="P243" s="149"/>
      <c r="Q243" s="149"/>
      <c r="R243" s="149"/>
      <c r="S243" s="149"/>
      <c r="T243" s="133"/>
    </row>
    <row r="244" spans="7:22" ht="20.100000000000001" customHeight="1" thickTop="1" x14ac:dyDescent="0.25">
      <c r="I244" s="150"/>
      <c r="J244" s="149"/>
      <c r="K244" s="149"/>
      <c r="L244" s="157"/>
      <c r="M244" s="274"/>
      <c r="N244" s="120" t="str">
        <f>IF(ISBLANK(N243),"",IFERROR(_xlfn.XLOOKUP(N243,'List of Teams'!$B$2:$B$65,'List of Teams'!$C$2:$C$65),""))</f>
        <v/>
      </c>
      <c r="O244" s="121"/>
      <c r="P244" s="149"/>
      <c r="Q244" s="149"/>
      <c r="R244" s="149"/>
      <c r="S244" s="149"/>
      <c r="T244" s="133"/>
    </row>
    <row r="245" spans="7:22" ht="20.100000000000001" customHeight="1" thickBot="1" x14ac:dyDescent="0.3">
      <c r="I245" s="150"/>
      <c r="J245" s="149"/>
      <c r="K245" s="127"/>
      <c r="L245" s="224"/>
      <c r="M245" s="275"/>
      <c r="N245" s="225" t="s">
        <v>101</v>
      </c>
      <c r="O245" s="125"/>
      <c r="P245" s="126"/>
      <c r="Q245" s="127"/>
      <c r="R245" s="149"/>
      <c r="S245" s="149"/>
      <c r="T245" s="133"/>
    </row>
    <row r="246" spans="7:22" ht="20.100000000000001" customHeight="1" thickTop="1" x14ac:dyDescent="0.25">
      <c r="I246" s="150"/>
      <c r="J246" s="149"/>
      <c r="K246" s="128"/>
      <c r="L246" s="226"/>
      <c r="M246" s="273"/>
      <c r="N246" s="227" t="s">
        <v>32</v>
      </c>
      <c r="O246" s="125"/>
      <c r="P246" s="131"/>
      <c r="Q246" s="132"/>
      <c r="R246" s="150"/>
      <c r="S246" s="149"/>
      <c r="T246" s="133"/>
    </row>
    <row r="247" spans="7:22" ht="20.100000000000001" customHeight="1" thickBot="1" x14ac:dyDescent="0.3">
      <c r="I247" s="150"/>
      <c r="J247" s="149"/>
      <c r="K247" s="134"/>
      <c r="L247" s="135"/>
      <c r="M247" s="276"/>
      <c r="N247" s="136" t="str">
        <f>IF(ISBLANK(N248),"",IFERROR(_xlfn.XLOOKUP(N248,'List of Teams'!$B$2:$B$65,'List of Teams'!$C$2:$C$65),""))</f>
        <v/>
      </c>
      <c r="O247" s="137"/>
      <c r="P247" s="132"/>
      <c r="Q247" s="132"/>
      <c r="R247" s="150"/>
      <c r="S247" s="149"/>
      <c r="T247" s="133"/>
    </row>
    <row r="248" spans="7:22" ht="20.100000000000001" customHeight="1" thickTop="1" x14ac:dyDescent="0.25">
      <c r="I248" s="150"/>
      <c r="J248" s="149"/>
      <c r="K248" s="134"/>
      <c r="L248" s="132"/>
      <c r="M248" s="273">
        <v>38</v>
      </c>
      <c r="N248" s="117"/>
      <c r="O248" s="138"/>
      <c r="P248" s="132"/>
      <c r="Q248" s="132"/>
      <c r="R248" s="150"/>
      <c r="S248" s="149"/>
      <c r="T248" s="133"/>
    </row>
    <row r="249" spans="7:22" ht="20.100000000000001" customHeight="1" thickBot="1" x14ac:dyDescent="0.3">
      <c r="I249" s="163"/>
      <c r="J249" s="239"/>
      <c r="K249" s="134"/>
      <c r="L249" s="142" t="s">
        <v>114</v>
      </c>
      <c r="M249" s="142"/>
      <c r="N249" s="132"/>
      <c r="O249" s="132"/>
      <c r="P249" s="142" t="s">
        <v>94</v>
      </c>
      <c r="Q249" s="132"/>
      <c r="R249" s="240"/>
      <c r="S249" s="166"/>
      <c r="T249" s="133"/>
    </row>
    <row r="250" spans="7:22" ht="20.100000000000001" customHeight="1" thickTop="1" x14ac:dyDescent="0.25">
      <c r="I250" s="167"/>
      <c r="J250" s="241"/>
      <c r="K250" s="134"/>
      <c r="L250" s="142" t="s">
        <v>32</v>
      </c>
      <c r="M250" s="142"/>
      <c r="N250" s="132"/>
      <c r="O250" s="132"/>
      <c r="P250" s="142" t="s">
        <v>32</v>
      </c>
      <c r="Q250" s="132"/>
      <c r="R250" s="242"/>
      <c r="S250" s="167"/>
    </row>
    <row r="251" spans="7:22" ht="20.100000000000001" customHeight="1" thickBot="1" x14ac:dyDescent="0.3">
      <c r="K251" s="134"/>
      <c r="L251" s="132"/>
      <c r="M251" s="273">
        <v>6</v>
      </c>
      <c r="N251" s="117"/>
      <c r="O251" s="118"/>
      <c r="P251" s="132"/>
      <c r="Q251" s="132"/>
      <c r="R251" s="133"/>
    </row>
    <row r="252" spans="7:22" ht="20.100000000000001" customHeight="1" thickTop="1" x14ac:dyDescent="0.25">
      <c r="K252" s="134"/>
      <c r="L252" s="135"/>
      <c r="M252" s="274"/>
      <c r="N252" s="120" t="str">
        <f>IF(ISBLANK(N251),"",IFERROR(_xlfn.XLOOKUP(N251,'List of Teams'!$B$2:$B$65,'List of Teams'!$C$2:$C$65),""))</f>
        <v/>
      </c>
      <c r="O252" s="121"/>
      <c r="P252" s="132"/>
      <c r="Q252" s="132"/>
      <c r="R252" s="133"/>
    </row>
    <row r="253" spans="7:22" ht="20.100000000000001" customHeight="1" thickBot="1" x14ac:dyDescent="0.3">
      <c r="K253" s="151"/>
      <c r="L253" s="231"/>
      <c r="M253" s="273"/>
      <c r="N253" s="225" t="s">
        <v>102</v>
      </c>
      <c r="O253" s="125"/>
      <c r="P253" s="232"/>
      <c r="Q253" s="153"/>
      <c r="R253" s="133"/>
    </row>
    <row r="254" spans="7:22" ht="20.100000000000001" customHeight="1" thickTop="1" x14ac:dyDescent="0.25">
      <c r="K254" s="154"/>
      <c r="L254" s="233"/>
      <c r="M254" s="275"/>
      <c r="N254" s="227" t="s">
        <v>32</v>
      </c>
      <c r="O254" s="125"/>
      <c r="P254" s="234"/>
      <c r="Q254" s="154"/>
    </row>
    <row r="255" spans="7:22" ht="20.100000000000001" customHeight="1" thickBot="1" x14ac:dyDescent="0.3">
      <c r="L255" s="119"/>
      <c r="M255" s="276"/>
      <c r="N255" s="136" t="str">
        <f>IF(ISBLANK(N256),"",IFERROR(_xlfn.XLOOKUP(N256,'List of Teams'!$B$2:$B$65,'List of Teams'!$C$2:$C$65),""))</f>
        <v/>
      </c>
      <c r="O255" s="137"/>
    </row>
    <row r="256" spans="7:22" ht="20.100000000000001" customHeight="1" thickTop="1" x14ac:dyDescent="0.25">
      <c r="M256" s="273">
        <v>69</v>
      </c>
      <c r="N256" s="117"/>
      <c r="O256" s="138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82775-8D76-4576-9710-18F7168ECB5E}">
  <sheetPr codeName="Sheet9"/>
  <dimension ref="A1:AC25"/>
  <sheetViews>
    <sheetView topLeftCell="J1" workbookViewId="0">
      <selection activeCell="U21" sqref="U21"/>
    </sheetView>
  </sheetViews>
  <sheetFormatPr defaultRowHeight="15" x14ac:dyDescent="0.25"/>
  <sheetData>
    <row r="1" spans="1:29" x14ac:dyDescent="0.25">
      <c r="A1" t="s">
        <v>66</v>
      </c>
    </row>
    <row r="2" spans="1:29" x14ac:dyDescent="0.25">
      <c r="B2" t="s">
        <v>67</v>
      </c>
      <c r="K2" t="s">
        <v>209</v>
      </c>
      <c r="AA2" t="s">
        <v>122</v>
      </c>
    </row>
    <row r="3" spans="1:29" x14ac:dyDescent="0.25">
      <c r="AB3" t="s">
        <v>106</v>
      </c>
    </row>
    <row r="4" spans="1:29" x14ac:dyDescent="0.25">
      <c r="K4" t="s">
        <v>213</v>
      </c>
      <c r="AC4" t="s">
        <v>121</v>
      </c>
    </row>
    <row r="5" spans="1:29" x14ac:dyDescent="0.25">
      <c r="AC5" t="s">
        <v>136</v>
      </c>
    </row>
    <row r="18" spans="1:23" x14ac:dyDescent="0.25">
      <c r="A18" t="s">
        <v>68</v>
      </c>
      <c r="V18" t="s">
        <v>219</v>
      </c>
    </row>
    <row r="19" spans="1:23" x14ac:dyDescent="0.25">
      <c r="B19" t="s">
        <v>69</v>
      </c>
      <c r="W19" t="s">
        <v>220</v>
      </c>
    </row>
    <row r="20" spans="1:23" x14ac:dyDescent="0.25">
      <c r="C20" t="s">
        <v>70</v>
      </c>
      <c r="V20" t="s">
        <v>221</v>
      </c>
    </row>
    <row r="21" spans="1:23" x14ac:dyDescent="0.25">
      <c r="D21" t="s">
        <v>73</v>
      </c>
    </row>
    <row r="22" spans="1:23" x14ac:dyDescent="0.25">
      <c r="C22" t="s">
        <v>71</v>
      </c>
    </row>
    <row r="23" spans="1:23" x14ac:dyDescent="0.25">
      <c r="D23" t="s">
        <v>72</v>
      </c>
      <c r="K23" s="115"/>
      <c r="L23" s="115"/>
      <c r="M23" s="115"/>
      <c r="N23" s="115"/>
      <c r="O23" s="115"/>
      <c r="P23" s="115"/>
    </row>
    <row r="24" spans="1:23" x14ac:dyDescent="0.25">
      <c r="K24" s="115" t="s">
        <v>223</v>
      </c>
      <c r="L24" s="115"/>
      <c r="M24" s="115"/>
      <c r="N24" s="115"/>
      <c r="O24" s="115"/>
      <c r="P24" s="115"/>
    </row>
    <row r="25" spans="1:23" x14ac:dyDescent="0.25">
      <c r="K25" s="115"/>
      <c r="L25" s="115"/>
      <c r="M25" s="115"/>
      <c r="N25" s="115"/>
      <c r="O25" s="115"/>
      <c r="P25" s="1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List of Teams</vt:lpstr>
      <vt:lpstr>Teams in Pools</vt:lpstr>
      <vt:lpstr>USER INTERFACE</vt:lpstr>
      <vt:lpstr>All Pools</vt:lpstr>
      <vt:lpstr>Gold Bracket</vt:lpstr>
      <vt:lpstr>Silver Bracket</vt:lpstr>
      <vt:lpstr>Bronze Bracket</vt:lpstr>
      <vt:lpstr>Copper Bracket</vt:lpstr>
      <vt:lpstr>Calculations</vt:lpstr>
      <vt:lpstr>Variables</vt:lpstr>
      <vt:lpstr>AllPoolsTemplate</vt:lpstr>
      <vt:lpstr>Bracket Template 8</vt:lpstr>
      <vt:lpstr>Bracket Template 16</vt:lpstr>
      <vt:lpstr>Bracket Template 32</vt:lpstr>
      <vt:lpstr>Bracket Template 64</vt:lpstr>
      <vt:lpstr>notes</vt:lpstr>
      <vt:lpstr>PoolCount</vt:lpstr>
      <vt:lpstr>TeamnamesInPools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2015-06-05T18:17:20Z</dcterms:created>
  <dcterms:modified xsi:type="dcterms:W3CDTF">2022-10-03T03:55:14Z</dcterms:modified>
</cp:coreProperties>
</file>